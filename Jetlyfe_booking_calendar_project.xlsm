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tables/table2.xml" ContentType="application/vnd.openxmlformats-officedocument.spreadsheetml.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tables/table3.xml" ContentType="application/vnd.openxmlformats-officedocument.spreadsheetml.tab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avel\Desktop\Opiskelu\Taulukkolaskenta\Harkkatyö\"/>
    </mc:Choice>
  </mc:AlternateContent>
  <xr:revisionPtr revIDLastSave="0" documentId="13_ncr:1_{94D9C5AD-BF7B-4776-A536-F9880AFB0F87}" xr6:coauthVersionLast="47" xr6:coauthVersionMax="47" xr10:uidLastSave="{00000000-0000-0000-0000-000000000000}"/>
  <bookViews>
    <workbookView xWindow="-120" yWindow="-120" windowWidth="29040" windowHeight="15840" activeTab="1" xr2:uid="{B8F40424-6C1D-440C-891B-C1B97C984F11}"/>
  </bookViews>
  <sheets>
    <sheet name="A1" sheetId="1" r:id="rId1"/>
    <sheet name="A2" sheetId="3" r:id="rId2"/>
    <sheet name="A3" sheetId="4" r:id="rId3"/>
    <sheet name="A4" sheetId="5" r:id="rId4"/>
    <sheet name="Kalenteri" sheetId="2" r:id="rId5"/>
  </sheets>
  <definedNames>
    <definedName name="_xlnm._FilterDatabase" localSheetId="0" hidden="1">'A1'!$B$3:$K$156</definedName>
    <definedName name="_xlnm._FilterDatabase" localSheetId="1" hidden="1">'A2'!$B$3:$K$156</definedName>
    <definedName name="_xlnm._FilterDatabase" localSheetId="2" hidden="1">'A3'!$B$3:$K$156</definedName>
    <definedName name="_xlnm._FilterDatabase" localSheetId="3" hidden="1">'A4'!$B$3:$K$156</definedName>
    <definedName name="Aikaisempi_kokemus">'A1'!$E$4:$E$164</definedName>
    <definedName name="_xlnm.Criteria" localSheetId="0">'A1'!$Y$11:$AA$12</definedName>
    <definedName name="_xlnm.Criteria" localSheetId="1">'A2'!$V$11:$W$12</definedName>
    <definedName name="_xlnm.Criteria" localSheetId="2">'A3'!$Y$11:$AA$12</definedName>
    <definedName name="_xlnm.Criteria" localSheetId="3">'A4'!$Y$11:$AA$12</definedName>
    <definedName name="_xlnm.Extract" localSheetId="0">'A1'!$C$158:$K$158</definedName>
    <definedName name="_xlnm.Extract" localSheetId="1">'A2'!$C$158:$K$158</definedName>
    <definedName name="_xlnm.Extract" localSheetId="2">'A3'!$C$158:$K$158</definedName>
    <definedName name="_xlnm.Extract" localSheetId="3">'A4'!$C$158:$K$158</definedName>
    <definedName name="Jettien_määrä">'A1'!$D$4:$D$164</definedName>
    <definedName name="Nimi">'A1'!$C$4:$C$164</definedName>
    <definedName name="Opiskelija?">'A1'!$F$4:$F$164</definedName>
    <definedName name="Puhelinnumero">'A1'!$G$4:$G$164</definedName>
    <definedName name="Sähköposti">'A1'!$H$4:$H$164</definedName>
  </definedNames>
  <calcPr calcId="191028"/>
  <pivotCaches>
    <pivotCache cacheId="19" r:id="rId6"/>
    <pivotCache cacheId="17" r:id="rId7"/>
    <pivotCache cacheId="25" r:id="rId8"/>
    <pivotCache cacheId="28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4" i="2" l="1" a="1"/>
  <c r="C24" i="2" s="1"/>
  <c r="C12" i="2" a="1"/>
  <c r="C12" i="2" s="1"/>
  <c r="AD12" i="1" a="1"/>
  <c r="AD12" i="1" s="1"/>
  <c r="Z12" i="1" a="1"/>
  <c r="Z12" i="1" s="1"/>
  <c r="AE12" i="1" a="1"/>
  <c r="AE12" i="1" s="1"/>
  <c r="AA12" i="1" a="1"/>
  <c r="AA12" i="1" s="1"/>
  <c r="W12" i="1" a="1"/>
  <c r="W12" i="1" s="1"/>
  <c r="AE12" i="3" a="1"/>
  <c r="AE12" i="3" s="1"/>
  <c r="AA12" i="3" a="1"/>
  <c r="AA12" i="3" s="1"/>
  <c r="W12" i="3" a="1"/>
  <c r="W12" i="3" s="1"/>
  <c r="AD12" i="3" a="1"/>
  <c r="AD12" i="3" s="1"/>
  <c r="Z12" i="3" a="1"/>
  <c r="Z12" i="3" s="1"/>
  <c r="V12" i="3" a="1"/>
  <c r="V12" i="3" s="1"/>
  <c r="AD12" i="4" a="1"/>
  <c r="AD12" i="4" s="1"/>
  <c r="Z12" i="4" a="1"/>
  <c r="Z12" i="4" s="1"/>
  <c r="V12" i="4" a="1"/>
  <c r="V12" i="4" s="1"/>
  <c r="AE12" i="4" a="1"/>
  <c r="AE12" i="4" s="1"/>
  <c r="AA12" i="4" a="1"/>
  <c r="AA12" i="4" s="1"/>
  <c r="W12" i="4" a="1"/>
  <c r="W12" i="4" s="1"/>
  <c r="AE12" i="5" a="1"/>
  <c r="AE12" i="5" s="1"/>
  <c r="AA12" i="5" a="1"/>
  <c r="AA12" i="5" s="1"/>
  <c r="W12" i="5" a="1"/>
  <c r="W12" i="5" s="1"/>
  <c r="AD12" i="5" a="1"/>
  <c r="AD12" i="5" s="1"/>
  <c r="Z12" i="5" a="1"/>
  <c r="Z12" i="5" s="1"/>
  <c r="V12" i="5" a="1"/>
  <c r="V12" i="5" s="1"/>
  <c r="V12" i="1" a="1"/>
  <c r="V12" i="1" s="1"/>
  <c r="C5" i="2" a="1"/>
  <c r="C5" i="2" s="1"/>
  <c r="C6" i="2" a="1"/>
  <c r="C6" i="2" s="1"/>
  <c r="C7" i="2" a="1"/>
  <c r="C7" i="2" s="1"/>
  <c r="C8" i="2" a="1"/>
  <c r="C8" i="2" s="1"/>
  <c r="C9" i="2" a="1"/>
  <c r="C9" i="2" s="1"/>
  <c r="C10" i="2" a="1"/>
  <c r="C10" i="2" s="1"/>
  <c r="C11" i="2" a="1"/>
  <c r="C11" i="2" s="1"/>
  <c r="C13" i="2" a="1"/>
  <c r="C13" i="2" s="1"/>
  <c r="C14" i="2" a="1"/>
  <c r="C14" i="2" s="1"/>
  <c r="C15" i="2" a="1"/>
  <c r="C15" i="2" s="1"/>
  <c r="C16" i="2" a="1"/>
  <c r="C16" i="2" s="1"/>
  <c r="C17" i="2" a="1"/>
  <c r="C17" i="2" s="1"/>
  <c r="C18" i="2" a="1"/>
  <c r="C18" i="2" s="1"/>
  <c r="C19" i="2" a="1"/>
  <c r="C19" i="2" s="1"/>
  <c r="C20" i="2" a="1"/>
  <c r="C20" i="2" s="1"/>
  <c r="C21" i="2" a="1"/>
  <c r="C21" i="2" s="1"/>
  <c r="C22" i="2" a="1"/>
  <c r="C22" i="2" s="1"/>
  <c r="C23" i="2" a="1"/>
  <c r="C23" i="2" s="1"/>
  <c r="C25" i="2" a="1"/>
  <c r="C25" i="2" s="1"/>
  <c r="C26" i="2" a="1"/>
  <c r="C26" i="2" s="1"/>
  <c r="C27" i="2" a="1"/>
  <c r="C27" i="2" s="1"/>
  <c r="C28" i="2" a="1"/>
  <c r="C28" i="2" s="1"/>
  <c r="C29" i="2" a="1"/>
  <c r="C29" i="2" s="1"/>
  <c r="C30" i="2" a="1"/>
  <c r="C30" i="2" s="1"/>
  <c r="C31" i="2" a="1"/>
  <c r="C31" i="2" s="1"/>
  <c r="C32" i="2" a="1"/>
  <c r="C32" i="2" s="1"/>
  <c r="C33" i="2" a="1"/>
  <c r="C33" i="2" s="1"/>
  <c r="F3" i="2" a="1"/>
  <c r="F3" i="2" s="1"/>
  <c r="F4" i="2" a="1"/>
  <c r="F4" i="2" s="1"/>
  <c r="F5" i="2" a="1"/>
  <c r="F5" i="2" s="1"/>
  <c r="F6" i="2" a="1"/>
  <c r="F6" i="2" s="1"/>
  <c r="F7" i="2" a="1"/>
  <c r="F7" i="2" s="1"/>
  <c r="F8" i="2" a="1"/>
  <c r="F8" i="2" s="1"/>
  <c r="F9" i="2" a="1"/>
  <c r="F9" i="2" s="1"/>
  <c r="F10" i="2" a="1"/>
  <c r="F10" i="2" s="1"/>
  <c r="F11" i="2" a="1"/>
  <c r="F11" i="2" s="1"/>
  <c r="F12" i="2" a="1"/>
  <c r="F12" i="2" s="1"/>
  <c r="F13" i="2" a="1"/>
  <c r="F13" i="2" s="1"/>
  <c r="F14" i="2" a="1"/>
  <c r="F14" i="2" s="1"/>
  <c r="F15" i="2" a="1"/>
  <c r="F15" i="2" s="1"/>
  <c r="F16" i="2" a="1"/>
  <c r="F16" i="2" s="1"/>
  <c r="F17" i="2" a="1"/>
  <c r="F17" i="2" s="1"/>
  <c r="F18" i="2" a="1"/>
  <c r="F18" i="2" s="1"/>
  <c r="F19" i="2" a="1"/>
  <c r="F19" i="2" s="1"/>
  <c r="F20" i="2" a="1"/>
  <c r="F20" i="2" s="1"/>
  <c r="F21" i="2" a="1"/>
  <c r="F21" i="2" s="1"/>
  <c r="F22" i="2" a="1"/>
  <c r="F22" i="2" s="1"/>
  <c r="F23" i="2" a="1"/>
  <c r="F23" i="2" s="1"/>
  <c r="F24" i="2" a="1"/>
  <c r="F24" i="2" s="1"/>
  <c r="F25" i="2" a="1"/>
  <c r="F25" i="2" s="1"/>
  <c r="F26" i="2" a="1"/>
  <c r="F26" i="2" s="1"/>
  <c r="F27" i="2" a="1"/>
  <c r="F27" i="2" s="1"/>
  <c r="F28" i="2" a="1"/>
  <c r="F28" i="2" s="1"/>
  <c r="F29" i="2" a="1"/>
  <c r="F29" i="2" s="1"/>
  <c r="F30" i="2" a="1"/>
  <c r="F30" i="2" s="1"/>
  <c r="F31" i="2" a="1"/>
  <c r="F31" i="2" s="1"/>
  <c r="F32" i="2" a="1"/>
  <c r="F32" i="2" s="1"/>
  <c r="I3" i="2" a="1"/>
  <c r="I3" i="2" s="1"/>
  <c r="I4" i="2" a="1"/>
  <c r="I4" i="2" s="1"/>
  <c r="I5" i="2" a="1"/>
  <c r="I5" i="2" s="1"/>
  <c r="I6" i="2" a="1"/>
  <c r="I6" i="2" s="1"/>
  <c r="I7" i="2" a="1"/>
  <c r="I7" i="2" s="1"/>
  <c r="I8" i="2" a="1"/>
  <c r="I8" i="2" s="1"/>
  <c r="I9" i="2" a="1"/>
  <c r="I9" i="2" s="1"/>
  <c r="I10" i="2" a="1"/>
  <c r="I10" i="2" s="1"/>
  <c r="I11" i="2" a="1"/>
  <c r="I11" i="2" s="1"/>
  <c r="I12" i="2" a="1"/>
  <c r="I12" i="2" s="1"/>
  <c r="I13" i="2" a="1"/>
  <c r="I13" i="2" s="1"/>
  <c r="I14" i="2" a="1"/>
  <c r="I14" i="2" s="1"/>
  <c r="I15" i="2" a="1"/>
  <c r="I15" i="2" s="1"/>
  <c r="I16" i="2" a="1"/>
  <c r="I16" i="2" s="1"/>
  <c r="I17" i="2" a="1"/>
  <c r="I17" i="2" s="1"/>
  <c r="I18" i="2" a="1"/>
  <c r="I18" i="2" s="1"/>
  <c r="I19" i="2" a="1"/>
  <c r="I19" i="2" s="1"/>
  <c r="I20" i="2" a="1"/>
  <c r="I20" i="2" s="1"/>
  <c r="I21" i="2" a="1"/>
  <c r="I21" i="2" s="1"/>
  <c r="I22" i="2" a="1"/>
  <c r="I22" i="2" s="1"/>
  <c r="I23" i="2" a="1"/>
  <c r="I23" i="2" s="1"/>
  <c r="I24" i="2" a="1"/>
  <c r="I24" i="2" s="1"/>
  <c r="I25" i="2" a="1"/>
  <c r="I25" i="2" s="1"/>
  <c r="I26" i="2" a="1"/>
  <c r="I26" i="2" s="1"/>
  <c r="I27" i="2" a="1"/>
  <c r="I27" i="2" s="1"/>
  <c r="I28" i="2" a="1"/>
  <c r="I28" i="2" s="1"/>
  <c r="I29" i="2" a="1"/>
  <c r="I29" i="2" s="1"/>
  <c r="I30" i="2" a="1"/>
  <c r="I30" i="2" s="1"/>
  <c r="I31" i="2" a="1"/>
  <c r="I31" i="2" s="1"/>
  <c r="I32" i="2" a="1"/>
  <c r="I32" i="2" s="1"/>
  <c r="I33" i="2" a="1"/>
  <c r="I33" i="2" s="1"/>
  <c r="L3" i="2" a="1"/>
  <c r="L3" i="2" s="1"/>
  <c r="L4" i="2" a="1"/>
  <c r="L4" i="2" s="1"/>
  <c r="L5" i="2" a="1"/>
  <c r="L5" i="2" s="1"/>
  <c r="L6" i="2" a="1"/>
  <c r="L6" i="2" s="1"/>
  <c r="L7" i="2" a="1"/>
  <c r="L7" i="2" s="1"/>
  <c r="L8" i="2" a="1"/>
  <c r="L8" i="2" s="1"/>
  <c r="L9" i="2" a="1"/>
  <c r="L9" i="2" s="1"/>
  <c r="L10" i="2" a="1"/>
  <c r="L10" i="2" s="1"/>
  <c r="L11" i="2" a="1"/>
  <c r="L11" i="2" s="1"/>
  <c r="L12" i="2" a="1"/>
  <c r="L12" i="2" s="1"/>
  <c r="L13" i="2" a="1"/>
  <c r="L13" i="2" s="1"/>
  <c r="L14" i="2" a="1"/>
  <c r="L14" i="2" s="1"/>
  <c r="L15" i="2" a="1"/>
  <c r="L15" i="2" s="1"/>
  <c r="L16" i="2" a="1"/>
  <c r="L16" i="2" s="1"/>
  <c r="L17" i="2" a="1"/>
  <c r="L17" i="2" s="1"/>
  <c r="L18" i="2" a="1"/>
  <c r="L18" i="2" s="1"/>
  <c r="L19" i="2" a="1"/>
  <c r="L19" i="2" s="1"/>
  <c r="L20" i="2" a="1"/>
  <c r="L20" i="2" s="1"/>
  <c r="L21" i="2" a="1"/>
  <c r="L21" i="2" s="1"/>
  <c r="L22" i="2" a="1"/>
  <c r="L22" i="2" s="1"/>
  <c r="L23" i="2" a="1"/>
  <c r="L23" i="2" s="1"/>
  <c r="L24" i="2" a="1"/>
  <c r="L24" i="2" s="1"/>
  <c r="L25" i="2" a="1"/>
  <c r="L25" i="2" s="1"/>
  <c r="L26" i="2" a="1"/>
  <c r="L26" i="2" s="1"/>
  <c r="L27" i="2" a="1"/>
  <c r="L27" i="2" s="1"/>
  <c r="L28" i="2" a="1"/>
  <c r="L28" i="2" s="1"/>
  <c r="L29" i="2" a="1"/>
  <c r="L29" i="2" s="1"/>
  <c r="L30" i="2" a="1"/>
  <c r="L30" i="2" s="1"/>
  <c r="L31" i="2" a="1"/>
  <c r="L31" i="2" s="1"/>
  <c r="L32" i="2" a="1"/>
  <c r="L32" i="2" s="1"/>
  <c r="L33" i="2" a="1"/>
  <c r="L33" i="2" s="1"/>
  <c r="O3" i="2" a="1"/>
  <c r="O3" i="2" s="1"/>
  <c r="O4" i="2" a="1"/>
  <c r="O4" i="2" s="1"/>
  <c r="O5" i="2" a="1"/>
  <c r="O5" i="2" s="1"/>
  <c r="O6" i="2" a="1"/>
  <c r="O6" i="2" s="1"/>
  <c r="O7" i="2" a="1"/>
  <c r="O7" i="2" s="1"/>
  <c r="O8" i="2" a="1"/>
  <c r="O8" i="2" s="1"/>
  <c r="O9" i="2" a="1"/>
  <c r="O9" i="2" s="1"/>
  <c r="O10" i="2" a="1"/>
  <c r="O10" i="2" s="1"/>
  <c r="O11" i="2" a="1"/>
  <c r="O11" i="2" s="1"/>
  <c r="O12" i="2" a="1"/>
  <c r="O12" i="2" s="1"/>
  <c r="O13" i="2" a="1"/>
  <c r="O13" i="2" s="1"/>
  <c r="O14" i="2" a="1"/>
  <c r="O14" i="2" s="1"/>
  <c r="O15" i="2" a="1"/>
  <c r="O15" i="2" s="1"/>
  <c r="O16" i="2" a="1"/>
  <c r="O16" i="2" s="1"/>
  <c r="O17" i="2" a="1"/>
  <c r="O17" i="2" s="1"/>
  <c r="O18" i="2" a="1"/>
  <c r="O18" i="2" s="1"/>
  <c r="O19" i="2" a="1"/>
  <c r="O19" i="2" s="1"/>
  <c r="O20" i="2" a="1"/>
  <c r="O20" i="2" s="1"/>
  <c r="O21" i="2" a="1"/>
  <c r="O21" i="2" s="1"/>
  <c r="O22" i="2" a="1"/>
  <c r="O22" i="2" s="1"/>
  <c r="O23" i="2" a="1"/>
  <c r="O23" i="2" s="1"/>
  <c r="O24" i="2" a="1"/>
  <c r="O24" i="2" s="1"/>
  <c r="O25" i="2" a="1"/>
  <c r="O25" i="2" s="1"/>
  <c r="O26" i="2" a="1"/>
  <c r="O26" i="2" s="1"/>
  <c r="O27" i="2" a="1"/>
  <c r="O27" i="2" s="1"/>
  <c r="O28" i="2" a="1"/>
  <c r="O28" i="2" s="1"/>
  <c r="O29" i="2" a="1"/>
  <c r="O29" i="2" s="1"/>
  <c r="O30" i="2" a="1"/>
  <c r="O30" i="2" s="1"/>
  <c r="O31" i="2" a="1"/>
  <c r="O31" i="2" s="1"/>
  <c r="O32" i="2" a="1"/>
  <c r="O32" i="2" s="1"/>
  <c r="C4" i="2" a="1"/>
  <c r="C4" i="2" s="1"/>
  <c r="C3" i="2" a="1"/>
  <c r="C3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<sst xmlns="http://schemas.openxmlformats.org/spreadsheetml/2006/main" count="660" uniqueCount="64">
  <si>
    <t>Valitse päivä sekä varauksen pituus, syötä tiedot ja voila!</t>
  </si>
  <si>
    <t>Jos asiakas vuokraa enemmän vesijettejä, valitse päivä ja vesijetti niin tämä siirtää tiedot myös sinne!</t>
  </si>
  <si>
    <t>Varauspäivä</t>
  </si>
  <si>
    <t>Nimi</t>
  </si>
  <si>
    <t>Aikaisempi kokemus (vapaa sana)</t>
  </si>
  <si>
    <t>Opiskelija?</t>
  </si>
  <si>
    <t>Puhelinnumero</t>
  </si>
  <si>
    <t>Sähköposti</t>
  </si>
  <si>
    <t>Älä koske!</t>
  </si>
  <si>
    <t>Ei</t>
  </si>
  <si>
    <t>Tästä saat varattua ajan vapaammin!</t>
  </si>
  <si>
    <t>Toukokuu</t>
  </si>
  <si>
    <t>Varaustilanne</t>
  </si>
  <si>
    <t>Kesäkuu</t>
  </si>
  <si>
    <t xml:space="preserve">Heinäkuu </t>
  </si>
  <si>
    <t>Elokuu</t>
  </si>
  <si>
    <t>Syyskuu</t>
  </si>
  <si>
    <t>Osoite</t>
  </si>
  <si>
    <t>Aikaisempi kokemus</t>
  </si>
  <si>
    <t>ÄLÄ KOSKE</t>
  </si>
  <si>
    <t>Luku Kalenteria varten</t>
  </si>
  <si>
    <t>Kopioi vesijetille:</t>
  </si>
  <si>
    <t>Kieli</t>
  </si>
  <si>
    <t>Hinta</t>
  </si>
  <si>
    <t>Tästä voit muokata tietyn solun tietoja, valitse vain päivä ja tietosarake! Huomioi, että toimenpide poistaa aikaisemman tekstin täysin..</t>
  </si>
  <si>
    <t>Row Labels</t>
  </si>
  <si>
    <t>(blank)</t>
  </si>
  <si>
    <t>Grand Total</t>
  </si>
  <si>
    <t>Sum of Hinta</t>
  </si>
  <si>
    <t>Kyllä</t>
  </si>
  <si>
    <t>Asiointikieli</t>
  </si>
  <si>
    <t>Vesijetin 1 varaukset päivästä viikkoon</t>
  </si>
  <si>
    <t>Vesijetin 2 varaukset päivästä viikkoon</t>
  </si>
  <si>
    <t>Vesijetin 3 varaukset päivästä viikkoon</t>
  </si>
  <si>
    <t>Vesijetin 4 varaukset päivästä viikkoon</t>
  </si>
  <si>
    <t>Tästä voit suodattaa varauksia! Tulokset ovat varsinaisen taulukon alapuolella. Vasemmanpuolinen on alaraja hinnalle ja oikeanpuolinen on yläraja.</t>
  </si>
  <si>
    <t>Matti Meikäläinen</t>
  </si>
  <si>
    <t>@</t>
  </si>
  <si>
    <t>Vaasa</t>
  </si>
  <si>
    <t>suomi</t>
  </si>
  <si>
    <t>Maija Mehiläinen</t>
  </si>
  <si>
    <t>Joo</t>
  </si>
  <si>
    <t>001</t>
  </si>
  <si>
    <t>Kokkola</t>
  </si>
  <si>
    <t>ruotsi</t>
  </si>
  <si>
    <t>Kaapo</t>
  </si>
  <si>
    <t>Ammattilainen</t>
  </si>
  <si>
    <t>00000</t>
  </si>
  <si>
    <t>Pavel</t>
  </si>
  <si>
    <t>Ei yhtään</t>
  </si>
  <si>
    <t>044</t>
  </si>
  <si>
    <t>@pavel</t>
  </si>
  <si>
    <t>Salo</t>
  </si>
  <si>
    <t>p</t>
  </si>
  <si>
    <t>1</t>
  </si>
  <si>
    <t>Vaasa, Palosaari</t>
  </si>
  <si>
    <t>0</t>
  </si>
  <si>
    <t>Matti</t>
  </si>
  <si>
    <t>ei</t>
  </si>
  <si>
    <t>k</t>
  </si>
  <si>
    <t>P</t>
  </si>
  <si>
    <t>s</t>
  </si>
  <si>
    <t>Kalevi</t>
  </si>
  <si>
    <t>00011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</si>
</sst>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\ &quot;€&quot;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1"/>
      <color theme="1"/>
      <name val="Times New Roman"/>
      <family val="1"/>
    </font>
    <font>
      <sz val="20"/>
      <color theme="1"/>
      <name val="Times New Roman"/>
      <family val="1"/>
    </font>
    <font>
      <sz val="11"/>
      <color theme="1" tint="4.9989318521683403E-2"/>
      <name val="Times New Roman"/>
      <family val="1"/>
    </font>
    <font>
      <sz val="11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Times New Roman"/>
      <family val="1"/>
    </font>
    <font>
      <b/>
      <sz val="11"/>
      <color theme="1" tint="4.9989318521683403E-2"/>
      <name val="Times New Roman"/>
      <family val="1"/>
    </font>
    <font>
      <sz val="8"/>
      <color rgb="FF000000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</cellStyleXfs>
  <cellXfs count="124">
    <xf numFmtId="0" fontId="0" fillId="0" borderId="0" xfId="0"/>
    <xf numFmtId="0" fontId="0" fillId="0" borderId="0" xfId="0" applyAlignment="1">
      <alignment horizontal="center"/>
    </xf>
    <xf numFmtId="14" fontId="0" fillId="0" borderId="1" xfId="0" applyNumberFormat="1" applyBorder="1"/>
    <xf numFmtId="14" fontId="0" fillId="0" borderId="0" xfId="0" applyNumberFormat="1"/>
    <xf numFmtId="1" fontId="0" fillId="3" borderId="5" xfId="0" applyNumberFormat="1" applyFill="1" applyBorder="1" applyAlignment="1">
      <alignment horizontal="center"/>
    </xf>
    <xf numFmtId="0" fontId="0" fillId="0" borderId="0" xfId="0" applyAlignment="1">
      <alignment wrapText="1"/>
    </xf>
    <xf numFmtId="0" fontId="0" fillId="3" borderId="1" xfId="0" applyFill="1" applyBorder="1"/>
    <xf numFmtId="49" fontId="0" fillId="0" borderId="0" xfId="0" applyNumberFormat="1"/>
    <xf numFmtId="49" fontId="0" fillId="3" borderId="1" xfId="0" applyNumberFormat="1" applyFill="1" applyBorder="1"/>
    <xf numFmtId="49" fontId="0" fillId="3" borderId="5" xfId="0" applyNumberFormat="1" applyFill="1" applyBorder="1"/>
    <xf numFmtId="49" fontId="0" fillId="3" borderId="4" xfId="0" applyNumberFormat="1" applyFill="1" applyBorder="1"/>
    <xf numFmtId="0" fontId="0" fillId="3" borderId="6" xfId="0" applyFill="1" applyBorder="1"/>
    <xf numFmtId="0" fontId="4" fillId="0" borderId="0" xfId="0" applyFont="1"/>
    <xf numFmtId="0" fontId="3" fillId="2" borderId="1" xfId="1" applyFont="1" applyBorder="1"/>
    <xf numFmtId="49" fontId="5" fillId="4" borderId="8" xfId="0" applyNumberFormat="1" applyFont="1" applyFill="1" applyBorder="1"/>
    <xf numFmtId="49" fontId="6" fillId="2" borderId="11" xfId="1" applyNumberFormat="1" applyFont="1" applyBorder="1"/>
    <xf numFmtId="0" fontId="6" fillId="2" borderId="7" xfId="1" applyNumberFormat="1" applyFont="1" applyBorder="1"/>
    <xf numFmtId="49" fontId="0" fillId="0" borderId="0" xfId="0" applyNumberFormat="1" applyAlignment="1">
      <alignment wrapText="1"/>
    </xf>
    <xf numFmtId="49" fontId="6" fillId="2" borderId="11" xfId="1" applyNumberFormat="1" applyFont="1" applyBorder="1" applyAlignment="1">
      <alignment wrapText="1"/>
    </xf>
    <xf numFmtId="49" fontId="0" fillId="3" borderId="1" xfId="0" applyNumberFormat="1" applyFill="1" applyBorder="1" applyAlignment="1">
      <alignment wrapText="1"/>
    </xf>
    <xf numFmtId="49" fontId="0" fillId="3" borderId="5" xfId="0" applyNumberFormat="1" applyFill="1" applyBorder="1" applyAlignment="1">
      <alignment wrapText="1"/>
    </xf>
    <xf numFmtId="0" fontId="0" fillId="3" borderId="1" xfId="0" applyFill="1" applyBorder="1" applyAlignment="1">
      <alignment horizontal="center"/>
    </xf>
    <xf numFmtId="14" fontId="0" fillId="5" borderId="0" xfId="0" applyNumberFormat="1" applyFill="1"/>
    <xf numFmtId="0" fontId="0" fillId="5" borderId="0" xfId="0" applyFill="1" applyAlignment="1">
      <alignment horizontal="center"/>
    </xf>
    <xf numFmtId="0" fontId="8" fillId="6" borderId="0" xfId="0" applyFont="1" applyFill="1" applyAlignment="1">
      <alignment horizontal="center"/>
    </xf>
    <xf numFmtId="0" fontId="0" fillId="0" borderId="6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0" xfId="0" applyAlignment="1">
      <alignment horizontal="center"/>
    </xf>
    <xf numFmtId="0" fontId="0" fillId="0" borderId="4" xfId="0" applyBorder="1"/>
    <xf numFmtId="0" fontId="0" fillId="0" borderId="8" xfId="0" applyBorder="1"/>
    <xf numFmtId="0" fontId="0" fillId="0" borderId="2" xfId="0" applyBorder="1"/>
    <xf numFmtId="0" fontId="0" fillId="0" borderId="6" xfId="0" applyBorder="1" applyAlignment="1"/>
    <xf numFmtId="0" fontId="7" fillId="3" borderId="12" xfId="2" applyNumberFormat="1" applyFill="1" applyBorder="1"/>
    <xf numFmtId="0" fontId="0" fillId="3" borderId="12" xfId="0" applyFill="1" applyBorder="1"/>
    <xf numFmtId="0" fontId="6" fillId="4" borderId="1" xfId="0" applyFont="1" applyFill="1" applyBorder="1"/>
    <xf numFmtId="0" fontId="0" fillId="0" borderId="0" xfId="0" applyBorder="1" applyAlignment="1">
      <alignment wrapText="1"/>
    </xf>
    <xf numFmtId="0" fontId="0" fillId="0" borderId="0" xfId="0" applyBorder="1"/>
    <xf numFmtId="0" fontId="0" fillId="0" borderId="10" xfId="0" applyBorder="1" applyAlignment="1">
      <alignment wrapText="1"/>
    </xf>
    <xf numFmtId="0" fontId="0" fillId="0" borderId="9" xfId="0" applyBorder="1" applyAlignment="1">
      <alignment wrapText="1"/>
    </xf>
    <xf numFmtId="0" fontId="6" fillId="4" borderId="13" xfId="0" applyFont="1" applyFill="1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6" fillId="2" borderId="11" xfId="1" applyFont="1" applyBorder="1" applyAlignment="1">
      <alignment horizontal="left"/>
    </xf>
    <xf numFmtId="0" fontId="0" fillId="0" borderId="17" xfId="0" applyFill="1" applyBorder="1"/>
    <xf numFmtId="164" fontId="0" fillId="0" borderId="0" xfId="0" applyNumberFormat="1"/>
    <xf numFmtId="164" fontId="0" fillId="3" borderId="1" xfId="0" applyNumberFormat="1" applyFill="1" applyBorder="1"/>
    <xf numFmtId="164" fontId="6" fillId="4" borderId="13" xfId="0" applyNumberFormat="1" applyFont="1" applyFill="1" applyBorder="1"/>
    <xf numFmtId="0" fontId="7" fillId="3" borderId="6" xfId="2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3" borderId="6" xfId="0" applyNumberFormat="1" applyFill="1" applyBorder="1"/>
    <xf numFmtId="0" fontId="0" fillId="3" borderId="5" xfId="0" applyFill="1" applyBorder="1"/>
    <xf numFmtId="164" fontId="0" fillId="3" borderId="5" xfId="0" applyNumberFormat="1" applyFill="1" applyBorder="1"/>
    <xf numFmtId="164" fontId="10" fillId="4" borderId="1" xfId="0" applyNumberFormat="1" applyFont="1" applyFill="1" applyBorder="1"/>
    <xf numFmtId="49" fontId="10" fillId="2" borderId="21" xfId="1" applyNumberFormat="1" applyFont="1" applyFill="1" applyBorder="1"/>
    <xf numFmtId="49" fontId="11" fillId="4" borderId="1" xfId="0" applyNumberFormat="1" applyFont="1" applyFill="1" applyBorder="1"/>
    <xf numFmtId="0" fontId="10" fillId="2" borderId="1" xfId="1" applyFont="1" applyBorder="1" applyAlignment="1">
      <alignment horizontal="left"/>
    </xf>
    <xf numFmtId="49" fontId="10" fillId="2" borderId="1" xfId="1" applyNumberFormat="1" applyFont="1" applyBorder="1" applyAlignment="1">
      <alignment wrapText="1"/>
    </xf>
    <xf numFmtId="49" fontId="10" fillId="2" borderId="1" xfId="1" applyNumberFormat="1" applyFont="1" applyBorder="1"/>
    <xf numFmtId="0" fontId="10" fillId="2" borderId="1" xfId="1" applyNumberFormat="1" applyFont="1" applyBorder="1"/>
    <xf numFmtId="0" fontId="10" fillId="4" borderId="1" xfId="0" applyFont="1" applyFill="1" applyBorder="1"/>
    <xf numFmtId="0" fontId="7" fillId="3" borderId="12" xfId="2" applyFill="1" applyBorder="1"/>
    <xf numFmtId="0" fontId="7" fillId="3" borderId="6" xfId="2" applyNumberFormat="1" applyFill="1" applyBorder="1"/>
    <xf numFmtId="0" fontId="0" fillId="0" borderId="6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6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9" xfId="0" applyBorder="1" applyAlignment="1">
      <alignment horizontal="center"/>
    </xf>
    <xf numFmtId="0" fontId="2" fillId="0" borderId="6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49" fontId="0" fillId="7" borderId="1" xfId="0" applyNumberFormat="1" applyFill="1" applyBorder="1"/>
    <xf numFmtId="0" fontId="0" fillId="7" borderId="1" xfId="0" applyFill="1" applyBorder="1" applyAlignment="1">
      <alignment horizontal="center"/>
    </xf>
    <xf numFmtId="49" fontId="0" fillId="7" borderId="1" xfId="0" applyNumberFormat="1" applyFill="1" applyBorder="1" applyAlignment="1">
      <alignment wrapText="1"/>
    </xf>
    <xf numFmtId="0" fontId="7" fillId="7" borderId="12" xfId="2" applyNumberFormat="1" applyFill="1" applyBorder="1"/>
    <xf numFmtId="0" fontId="0" fillId="7" borderId="1" xfId="0" applyFill="1" applyBorder="1"/>
    <xf numFmtId="164" fontId="0" fillId="7" borderId="1" xfId="0" applyNumberFormat="1" applyFill="1" applyBorder="1"/>
    <xf numFmtId="0" fontId="0" fillId="7" borderId="12" xfId="0" applyFill="1" applyBorder="1"/>
    <xf numFmtId="49" fontId="0" fillId="7" borderId="4" xfId="0" applyNumberFormat="1" applyFill="1" applyBorder="1"/>
    <xf numFmtId="1" fontId="0" fillId="7" borderId="5" xfId="0" applyNumberFormat="1" applyFill="1" applyBorder="1" applyAlignment="1">
      <alignment horizontal="center"/>
    </xf>
    <xf numFmtId="49" fontId="0" fillId="7" borderId="5" xfId="0" applyNumberFormat="1" applyFill="1" applyBorder="1" applyAlignment="1">
      <alignment wrapText="1"/>
    </xf>
    <xf numFmtId="49" fontId="0" fillId="7" borderId="5" xfId="0" applyNumberFormat="1" applyFill="1" applyBorder="1"/>
    <xf numFmtId="0" fontId="0" fillId="7" borderId="6" xfId="0" applyFill="1" applyBorder="1"/>
  </cellXfs>
  <cellStyles count="3">
    <cellStyle name="40% - Accent1" xfId="1" builtinId="31"/>
    <cellStyle name="Hyperlink" xfId="2" builtinId="8"/>
    <cellStyle name="Normal" xfId="0" builtinId="0"/>
  </cellStyles>
  <dxfs count="7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solid">
          <fgColor theme="0" tint="-0.14999847407452621"/>
          <bgColor theme="0" tint="-0.14999847407452621"/>
        </patternFill>
      </fill>
    </dxf>
    <dxf>
      <border outline="0"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solid">
          <fgColor theme="0" tint="-0.14999847407452621"/>
          <bgColor theme="0" tint="-0.14999847407452621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solid">
          <fgColor theme="0" tint="-0.14999847407452621"/>
          <bgColor theme="0" tint="-0.14999847407452621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numFmt numFmtId="164" formatCode="#,##0\ &quot;€&quot;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" formatCode="@"/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" formatCode="@"/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\ &quot;€&quot;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" formatCode="@"/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" formatCode="@"/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\ &quot;€&quot;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" formatCode="@"/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" formatCode="@"/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\ &quot;€&quot;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" formatCode="@"/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" formatCode="@"/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</dxf>
    <dxf>
      <border outline="0"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Lines="10" dropStyle="combo" dx="22" fmlaLink="$V$1" fmlaRange="$B$4:$B$156" noThreeD="1" sel="4" val="2"/>
</file>

<file path=xl/ctrlProps/ctrlProp6.xml><?xml version="1.0" encoding="utf-8"?>
<formControlPr xmlns="http://schemas.microsoft.com/office/spreadsheetml/2009/9/main" objectType="Drop" dropStyle="combo" dx="22" fmlaLink="$V$3" fmlaRange="$B$4:$B$156" noThreeD="1" sel="1" val="0"/>
</file>

<file path=xl/ctrlProps/ctrlProp7.xml><?xml version="1.0" encoding="utf-8"?>
<formControlPr xmlns="http://schemas.microsoft.com/office/spreadsheetml/2009/9/main" objectType="Drop" dropStyle="combo" dx="22" fmlaLink="$V$4" fmlaRange="$B$4:$B$156" noThreeD="1" sel="8" val="3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Drop" dropStyle="combo" dx="22" fmlaLink="$V$2" fmlaRange="$B$4:$B$156" noThreeD="1" sel="5" val="0"/>
</file>

<file path=xl/ctrlProps/ctrlProp11.xml><?xml version="1.0" encoding="utf-8"?>
<formControlPr xmlns="http://schemas.microsoft.com/office/spreadsheetml/2009/9/main" objectType="Scroll" dx="22" fmlaLink="$N$28" horiz="1" max="4" min="1" page="10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Drop" dropStyle="combo" dx="22" fmlaLink="$V$5" fmlaRange="$B$4:$B$156" noThreeD="1" sel="32" val="29"/>
</file>

<file path=xl/ctrlProps/ctrlProp14.xml><?xml version="1.0" encoding="utf-8"?>
<formControlPr xmlns="http://schemas.microsoft.com/office/spreadsheetml/2009/9/main" objectType="Drop" dropStyle="combo" dx="22" fmlaLink="$V$6" fmlaRange="$W$1:$W$9" noThreeD="1" sel="7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Drop" dropStyle="combo" dx="22" fmlaLink="$X$8" fmlaRange="$X$1:$X$7" noThreeD="1" sel="1" val="0"/>
</file>

<file path=xl/ctrlProps/ctrlProp17.xml><?xml version="1.0" encoding="utf-8"?>
<formControlPr xmlns="http://schemas.microsoft.com/office/spreadsheetml/2009/9/main" objectType="Drop" dropStyle="combo" dx="22" fmlaLink="$X$9" fmlaRange="$X$1:$X$7" noThreeD="1" sel="4" val="0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Radio" checked="Checked" firstButton="1" fmlaLink="$X$10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Drop" dropLines="10" dropStyle="combo" dx="22" fmlaLink="$V$1" fmlaRange="$B$4:$B$156" noThreeD="1" sel="12" val="7"/>
</file>

<file path=xl/ctrlProps/ctrlProp28.xml><?xml version="1.0" encoding="utf-8"?>
<formControlPr xmlns="http://schemas.microsoft.com/office/spreadsheetml/2009/9/main" objectType="Drop" dropStyle="combo" dx="22" fmlaLink="$V$3" fmlaRange="$B$4:$B$156" noThreeD="1" sel="35" val="31"/>
</file>

<file path=xl/ctrlProps/ctrlProp29.xml><?xml version="1.0" encoding="utf-8"?>
<formControlPr xmlns="http://schemas.microsoft.com/office/spreadsheetml/2009/9/main" objectType="Drop" dropStyle="combo" dx="22" fmlaLink="$V$4" fmlaRange="$B$4:$B$156" noThreeD="1" sel="38" val="3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Drop" dropStyle="combo" dx="22" fmlaLink="$V$2" fmlaRange="$B$4:$B$156" noThreeD="1" sel="10" val="0"/>
</file>

<file path=xl/ctrlProps/ctrlProp33.xml><?xml version="1.0" encoding="utf-8"?>
<formControlPr xmlns="http://schemas.microsoft.com/office/spreadsheetml/2009/9/main" objectType="Scroll" dx="22" fmlaLink="$N$28" horiz="1" max="4" min="1" page="10" val="4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Drop" dropStyle="combo" dx="22" fmlaLink="$V$5" fmlaRange="$B$4:$B$156" noThreeD="1" sel="36" val="30"/>
</file>

<file path=xl/ctrlProps/ctrlProp36.xml><?xml version="1.0" encoding="utf-8"?>
<formControlPr xmlns="http://schemas.microsoft.com/office/spreadsheetml/2009/9/main" objectType="Drop" dropStyle="combo" dx="22" fmlaLink="$V$6" fmlaRange="$W$1:$W$9" noThreeD="1" sel="7" val="0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Drop" dropStyle="combo" dx="22" fmlaLink="$X$8" fmlaRange="$X$1:$X$7" noThreeD="1" sel="1" val="0"/>
</file>

<file path=xl/ctrlProps/ctrlProp39.xml><?xml version="1.0" encoding="utf-8"?>
<formControlPr xmlns="http://schemas.microsoft.com/office/spreadsheetml/2009/9/main" objectType="Drop" dropStyle="combo" dx="22" fmlaLink="$X$9" fmlaRange="$X$1:$X$7" noThreeD="1" sel="6" val="0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Radio" firstButton="1" fmlaLink="$X$10" lockText="1" noThreeD="1"/>
</file>

<file path=xl/ctrlProps/ctrlProp42.xml><?xml version="1.0" encoding="utf-8"?>
<formControlPr xmlns="http://schemas.microsoft.com/office/spreadsheetml/2009/9/main" objectType="Radio" lockText="1" noThreeD="1"/>
</file>

<file path=xl/ctrlProps/ctrlProp43.xml><?xml version="1.0" encoding="utf-8"?>
<formControlPr xmlns="http://schemas.microsoft.com/office/spreadsheetml/2009/9/main" objectType="Radio" checked="Checked" lockText="1" noThreeD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Drop" dropLines="10" dropStyle="combo" dx="22" fmlaLink="$V$1" fmlaRange="$B$4:$B$156" noThreeD="1" sel="5" val="0"/>
</file>

<file path=xl/ctrlProps/ctrlProp50.xml><?xml version="1.0" encoding="utf-8"?>
<formControlPr xmlns="http://schemas.microsoft.com/office/spreadsheetml/2009/9/main" objectType="Drop" dropStyle="combo" dx="22" fmlaLink="$V$3" fmlaRange="$B$4:$B$156" noThreeD="1" sel="10" val="0"/>
</file>

<file path=xl/ctrlProps/ctrlProp51.xml><?xml version="1.0" encoding="utf-8"?>
<formControlPr xmlns="http://schemas.microsoft.com/office/spreadsheetml/2009/9/main" objectType="Drop" dropStyle="combo" dx="22" fmlaLink="$V$4" fmlaRange="$B$4:$B$156" noThreeD="1" sel="71" val="65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Drop" dropStyle="combo" dx="22" fmlaLink="$V$2" fmlaRange="$B$4:$B$156" noThreeD="1" sel="10" val="0"/>
</file>

<file path=xl/ctrlProps/ctrlProp55.xml><?xml version="1.0" encoding="utf-8"?>
<formControlPr xmlns="http://schemas.microsoft.com/office/spreadsheetml/2009/9/main" objectType="Scroll" dx="22" fmlaLink="$N$28" horiz="1" max="4" min="1" page="10" val="4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Drop" dropStyle="combo" dx="22" fmlaLink="$V$5" fmlaRange="$B$4:$B$156" noThreeD="1" sel="70" val="66"/>
</file>

<file path=xl/ctrlProps/ctrlProp58.xml><?xml version="1.0" encoding="utf-8"?>
<formControlPr xmlns="http://schemas.microsoft.com/office/spreadsheetml/2009/9/main" objectType="Drop" dropStyle="combo" dx="22" fmlaLink="$V$6" fmlaRange="$W$1:$W$9" noThreeD="1" sel="9" val="0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Drop" dropStyle="combo" dx="22" fmlaLink="$X$8" fmlaRange="$X$1:$X$7" noThreeD="1" sel="1" val="0"/>
</file>

<file path=xl/ctrlProps/ctrlProp61.xml><?xml version="1.0" encoding="utf-8"?>
<formControlPr xmlns="http://schemas.microsoft.com/office/spreadsheetml/2009/9/main" objectType="Drop" dropStyle="combo" dx="22" fmlaLink="$X$9" fmlaRange="$X$1:$X$7" noThreeD="1" sel="4" val="0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Radio" checked="Checked" firstButton="1" fmlaLink="$X$10" lockText="1" noThreeD="1"/>
</file>

<file path=xl/ctrlProps/ctrlProp64.xml><?xml version="1.0" encoding="utf-8"?>
<formControlPr xmlns="http://schemas.microsoft.com/office/spreadsheetml/2009/9/main" objectType="Radio" lockText="1" noThreeD="1"/>
</file>

<file path=xl/ctrlProps/ctrlProp65.xml><?xml version="1.0" encoding="utf-8"?>
<formControlPr xmlns="http://schemas.microsoft.com/office/spreadsheetml/2009/9/main" objectType="Radio" lockText="1" noThreeD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Drop" dropLines="10" dropStyle="combo" dx="22" fmlaLink="$V$1" fmlaRange="$B$4:$B$156" noThreeD="1" sel="10" val="3"/>
</file>

<file path=xl/ctrlProps/ctrlProp72.xml><?xml version="1.0" encoding="utf-8"?>
<formControlPr xmlns="http://schemas.microsoft.com/office/spreadsheetml/2009/9/main" objectType="Drop" dropStyle="combo" dx="22" fmlaLink="$V$3" fmlaRange="$B$4:$B$156" noThreeD="1" sel="17" val="11"/>
</file>

<file path=xl/ctrlProps/ctrlProp73.xml><?xml version="1.0" encoding="utf-8"?>
<formControlPr xmlns="http://schemas.microsoft.com/office/spreadsheetml/2009/9/main" objectType="Drop" dropStyle="combo" dx="22" fmlaLink="$V$4" fmlaRange="$B$4:$B$156" noThreeD="1" sel="41" val="37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Drop" dropStyle="combo" dx="22" fmlaLink="$V$2" fmlaRange="$B$4:$B$156" noThreeD="1" sel="14" val="9"/>
</file>

<file path=xl/ctrlProps/ctrlProp77.xml><?xml version="1.0" encoding="utf-8"?>
<formControlPr xmlns="http://schemas.microsoft.com/office/spreadsheetml/2009/9/main" objectType="Scroll" dx="22" fmlaLink="$N$28" horiz="1" max="4" min="1" page="10" val="4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Drop" dropStyle="combo" dx="22" fmlaLink="$V$5" fmlaRange="$B$4:$B$156" noThreeD="1" sel="70" val="63"/>
</file>

<file path=xl/ctrlProps/ctrlProp80.xml><?xml version="1.0" encoding="utf-8"?>
<formControlPr xmlns="http://schemas.microsoft.com/office/spreadsheetml/2009/9/main" objectType="Drop" dropStyle="combo" dx="22" fmlaLink="$V$6" fmlaRange="$W$1:$W$9" noThreeD="1" sel="9" val="0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Drop" dropStyle="combo" dx="22" fmlaLink="$X$8" fmlaRange="$X$1:$X$7" noThreeD="1" sel="1" val="0"/>
</file>

<file path=xl/ctrlProps/ctrlProp83.xml><?xml version="1.0" encoding="utf-8"?>
<formControlPr xmlns="http://schemas.microsoft.com/office/spreadsheetml/2009/9/main" objectType="Drop" dropStyle="combo" dx="22" fmlaLink="$X$9" fmlaRange="$X$1:$X$7" noThreeD="1" sel="5" val="0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Radio" checked="Checked" firstButton="1" fmlaLink="$X$10" lockText="1" noThreeD="1"/>
</file>

<file path=xl/ctrlProps/ctrlProp86.xml><?xml version="1.0" encoding="utf-8"?>
<formControlPr xmlns="http://schemas.microsoft.com/office/spreadsheetml/2009/9/main" objectType="Radio" lockText="1" noThreeD="1"/>
</file>

<file path=xl/ctrlProps/ctrlProp87.xml><?xml version="1.0" encoding="utf-8"?>
<formControlPr xmlns="http://schemas.microsoft.com/office/spreadsheetml/2009/9/main" objectType="Radio" lockText="1" noThreeD="1"/>
</file>

<file path=xl/ctrlProps/ctrlProp8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7</xdr:row>
          <xdr:rowOff>85725</xdr:rowOff>
        </xdr:from>
        <xdr:to>
          <xdr:col>13</xdr:col>
          <xdr:colOff>219075</xdr:colOff>
          <xdr:row>8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F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Päivävaraus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276225</xdr:colOff>
          <xdr:row>7</xdr:row>
          <xdr:rowOff>85725</xdr:rowOff>
        </xdr:from>
        <xdr:to>
          <xdr:col>14</xdr:col>
          <xdr:colOff>552450</xdr:colOff>
          <xdr:row>8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F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Päivän poisto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10</xdr:row>
          <xdr:rowOff>171450</xdr:rowOff>
        </xdr:from>
        <xdr:to>
          <xdr:col>14</xdr:col>
          <xdr:colOff>209550</xdr:colOff>
          <xdr:row>12</xdr:row>
          <xdr:rowOff>57150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F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Viikon varaus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276225</xdr:colOff>
          <xdr:row>9</xdr:row>
          <xdr:rowOff>9525</xdr:rowOff>
        </xdr:from>
        <xdr:to>
          <xdr:col>14</xdr:col>
          <xdr:colOff>257175</xdr:colOff>
          <xdr:row>10</xdr:row>
          <xdr:rowOff>133350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F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Viikonlopun varaus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828675</xdr:colOff>
          <xdr:row>5</xdr:row>
          <xdr:rowOff>95250</xdr:rowOff>
        </xdr:from>
        <xdr:to>
          <xdr:col>13</xdr:col>
          <xdr:colOff>657225</xdr:colOff>
          <xdr:row>6</xdr:row>
          <xdr:rowOff>133350</xdr:rowOff>
        </xdr:to>
        <xdr:sp macro="" textlink="">
          <xdr:nvSpPr>
            <xdr:cNvPr id="1038" name="Drop Dow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16</xdr:row>
          <xdr:rowOff>142875</xdr:rowOff>
        </xdr:from>
        <xdr:to>
          <xdr:col>12</xdr:col>
          <xdr:colOff>1038225</xdr:colOff>
          <xdr:row>17</xdr:row>
          <xdr:rowOff>152400</xdr:rowOff>
        </xdr:to>
        <xdr:sp macro="" textlink="">
          <xdr:nvSpPr>
            <xdr:cNvPr id="1044" name="Drop Dow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409575</xdr:colOff>
          <xdr:row>16</xdr:row>
          <xdr:rowOff>142875</xdr:rowOff>
        </xdr:from>
        <xdr:to>
          <xdr:col>14</xdr:col>
          <xdr:colOff>542925</xdr:colOff>
          <xdr:row>17</xdr:row>
          <xdr:rowOff>152400</xdr:rowOff>
        </xdr:to>
        <xdr:sp macro="" textlink="">
          <xdr:nvSpPr>
            <xdr:cNvPr id="1045" name="Drop Dow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18</xdr:row>
          <xdr:rowOff>76200</xdr:rowOff>
        </xdr:from>
        <xdr:to>
          <xdr:col>12</xdr:col>
          <xdr:colOff>1438275</xdr:colOff>
          <xdr:row>19</xdr:row>
          <xdr:rowOff>142875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F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Varaa aika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18</xdr:row>
          <xdr:rowOff>57150</xdr:rowOff>
        </xdr:from>
        <xdr:to>
          <xdr:col>14</xdr:col>
          <xdr:colOff>533400</xdr:colOff>
          <xdr:row>19</xdr:row>
          <xdr:rowOff>123825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F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Poista aika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371475</xdr:colOff>
      <xdr:row>5</xdr:row>
      <xdr:rowOff>180975</xdr:rowOff>
    </xdr:from>
    <xdr:to>
      <xdr:col>21</xdr:col>
      <xdr:colOff>371475</xdr:colOff>
      <xdr:row>6</xdr:row>
      <xdr:rowOff>180975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V="1">
          <a:off x="22517100" y="1285875"/>
          <a:ext cx="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1066799</xdr:colOff>
      <xdr:row>16</xdr:row>
      <xdr:rowOff>171450</xdr:rowOff>
    </xdr:from>
    <xdr:to>
      <xdr:col>13</xdr:col>
      <xdr:colOff>390525</xdr:colOff>
      <xdr:row>17</xdr:row>
      <xdr:rowOff>152400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5087599" y="3381375"/>
          <a:ext cx="800101" cy="171450"/>
        </a:xfrm>
        <a:prstGeom prst="rightArrow">
          <a:avLst/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FI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25</xdr:row>
          <xdr:rowOff>28575</xdr:rowOff>
        </xdr:from>
        <xdr:to>
          <xdr:col>12</xdr:col>
          <xdr:colOff>1419225</xdr:colOff>
          <xdr:row>26</xdr:row>
          <xdr:rowOff>152400</xdr:rowOff>
        </xdr:to>
        <xdr:sp macro="" textlink="">
          <xdr:nvSpPr>
            <xdr:cNvPr id="1048" name="Drop Dow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28</xdr:row>
          <xdr:rowOff>0</xdr:rowOff>
        </xdr:from>
        <xdr:to>
          <xdr:col>14</xdr:col>
          <xdr:colOff>581025</xdr:colOff>
          <xdr:row>29</xdr:row>
          <xdr:rowOff>171450</xdr:rowOff>
        </xdr:to>
        <xdr:sp macro="" textlink="">
          <xdr:nvSpPr>
            <xdr:cNvPr id="1050" name="Scroll Bar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1457325</xdr:colOff>
          <xdr:row>25</xdr:row>
          <xdr:rowOff>47625</xdr:rowOff>
        </xdr:from>
        <xdr:to>
          <xdr:col>14</xdr:col>
          <xdr:colOff>561975</xdr:colOff>
          <xdr:row>26</xdr:row>
          <xdr:rowOff>152400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F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Kopioi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35</xdr:row>
          <xdr:rowOff>66675</xdr:rowOff>
        </xdr:from>
        <xdr:to>
          <xdr:col>12</xdr:col>
          <xdr:colOff>1419225</xdr:colOff>
          <xdr:row>36</xdr:row>
          <xdr:rowOff>133350</xdr:rowOff>
        </xdr:to>
        <xdr:sp macro="" textlink="">
          <xdr:nvSpPr>
            <xdr:cNvPr id="1052" name="Drop Dow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35</xdr:row>
          <xdr:rowOff>66675</xdr:rowOff>
        </xdr:from>
        <xdr:to>
          <xdr:col>14</xdr:col>
          <xdr:colOff>571500</xdr:colOff>
          <xdr:row>36</xdr:row>
          <xdr:rowOff>133350</xdr:rowOff>
        </xdr:to>
        <xdr:sp macro="" textlink="">
          <xdr:nvSpPr>
            <xdr:cNvPr id="1053" name="Drop Dow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981075</xdr:colOff>
          <xdr:row>37</xdr:row>
          <xdr:rowOff>47625</xdr:rowOff>
        </xdr:from>
        <xdr:to>
          <xdr:col>13</xdr:col>
          <xdr:colOff>438150</xdr:colOff>
          <xdr:row>38</xdr:row>
          <xdr:rowOff>152400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F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Muokkaa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45</xdr:row>
          <xdr:rowOff>38100</xdr:rowOff>
        </xdr:from>
        <xdr:to>
          <xdr:col>12</xdr:col>
          <xdr:colOff>800100</xdr:colOff>
          <xdr:row>46</xdr:row>
          <xdr:rowOff>142875</xdr:rowOff>
        </xdr:to>
        <xdr:sp macro="" textlink="">
          <xdr:nvSpPr>
            <xdr:cNvPr id="1055" name="Drop Dow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45</xdr:row>
          <xdr:rowOff>47625</xdr:rowOff>
        </xdr:from>
        <xdr:to>
          <xdr:col>13</xdr:col>
          <xdr:colOff>752475</xdr:colOff>
          <xdr:row>46</xdr:row>
          <xdr:rowOff>142875</xdr:rowOff>
        </xdr:to>
        <xdr:sp macro="" textlink="">
          <xdr:nvSpPr>
            <xdr:cNvPr id="1056" name="Drop Dow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1276350</xdr:colOff>
          <xdr:row>47</xdr:row>
          <xdr:rowOff>57150</xdr:rowOff>
        </xdr:from>
        <xdr:to>
          <xdr:col>13</xdr:col>
          <xdr:colOff>752475</xdr:colOff>
          <xdr:row>48</xdr:row>
          <xdr:rowOff>133350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F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Suodata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46</xdr:row>
          <xdr:rowOff>152400</xdr:rowOff>
        </xdr:from>
        <xdr:to>
          <xdr:col>12</xdr:col>
          <xdr:colOff>1457325</xdr:colOff>
          <xdr:row>48</xdr:row>
          <xdr:rowOff>57150</xdr:rowOff>
        </xdr:to>
        <xdr:sp macro="" textlink="">
          <xdr:nvSpPr>
            <xdr:cNvPr id="1061" name="Option 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FI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Opiskelijat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48</xdr:row>
          <xdr:rowOff>47625</xdr:rowOff>
        </xdr:from>
        <xdr:to>
          <xdr:col>12</xdr:col>
          <xdr:colOff>1133475</xdr:colOff>
          <xdr:row>49</xdr:row>
          <xdr:rowOff>76200</xdr:rowOff>
        </xdr:to>
        <xdr:sp macro="" textlink="">
          <xdr:nvSpPr>
            <xdr:cNvPr id="1062" name="Option 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FI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Ei-opiskelijat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49</xdr:row>
          <xdr:rowOff>66675</xdr:rowOff>
        </xdr:from>
        <xdr:to>
          <xdr:col>12</xdr:col>
          <xdr:colOff>1238250</xdr:colOff>
          <xdr:row>50</xdr:row>
          <xdr:rowOff>152400</xdr:rowOff>
        </xdr:to>
        <xdr:sp macro="" textlink="">
          <xdr:nvSpPr>
            <xdr:cNvPr id="1063" name="Option 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FI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Ei väliä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1276350</xdr:colOff>
          <xdr:row>49</xdr:row>
          <xdr:rowOff>19050</xdr:rowOff>
        </xdr:from>
        <xdr:to>
          <xdr:col>13</xdr:col>
          <xdr:colOff>752475</xdr:colOff>
          <xdr:row>50</xdr:row>
          <xdr:rowOff>95250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F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Poista tulokset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847725</xdr:colOff>
      <xdr:row>45</xdr:row>
      <xdr:rowOff>104775</xdr:rowOff>
    </xdr:from>
    <xdr:to>
      <xdr:col>13</xdr:col>
      <xdr:colOff>9525</xdr:colOff>
      <xdr:row>46</xdr:row>
      <xdr:rowOff>95250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4725650" y="10363200"/>
          <a:ext cx="638175" cy="1809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FI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7</xdr:row>
          <xdr:rowOff>85725</xdr:rowOff>
        </xdr:from>
        <xdr:to>
          <xdr:col>13</xdr:col>
          <xdr:colOff>219075</xdr:colOff>
          <xdr:row>8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F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Päivävaraus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276225</xdr:colOff>
          <xdr:row>7</xdr:row>
          <xdr:rowOff>85725</xdr:rowOff>
        </xdr:from>
        <xdr:to>
          <xdr:col>14</xdr:col>
          <xdr:colOff>552450</xdr:colOff>
          <xdr:row>8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F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Päivän poisto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323850</xdr:colOff>
          <xdr:row>11</xdr:row>
          <xdr:rowOff>19050</xdr:rowOff>
        </xdr:from>
        <xdr:to>
          <xdr:col>14</xdr:col>
          <xdr:colOff>190500</xdr:colOff>
          <xdr:row>12</xdr:row>
          <xdr:rowOff>95250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F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Viikon varaus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285750</xdr:colOff>
          <xdr:row>9</xdr:row>
          <xdr:rowOff>38100</xdr:rowOff>
        </xdr:from>
        <xdr:to>
          <xdr:col>14</xdr:col>
          <xdr:colOff>266700</xdr:colOff>
          <xdr:row>10</xdr:row>
          <xdr:rowOff>161925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F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Viikonlopun varaus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685800</xdr:colOff>
          <xdr:row>5</xdr:row>
          <xdr:rowOff>76200</xdr:rowOff>
        </xdr:from>
        <xdr:to>
          <xdr:col>13</xdr:col>
          <xdr:colOff>523875</xdr:colOff>
          <xdr:row>6</xdr:row>
          <xdr:rowOff>114300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16</xdr:row>
          <xdr:rowOff>142875</xdr:rowOff>
        </xdr:from>
        <xdr:to>
          <xdr:col>12</xdr:col>
          <xdr:colOff>1038225</xdr:colOff>
          <xdr:row>17</xdr:row>
          <xdr:rowOff>152400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16</xdr:row>
          <xdr:rowOff>114300</xdr:rowOff>
        </xdr:from>
        <xdr:to>
          <xdr:col>14</xdr:col>
          <xdr:colOff>361950</xdr:colOff>
          <xdr:row>17</xdr:row>
          <xdr:rowOff>133350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18</xdr:row>
          <xdr:rowOff>76200</xdr:rowOff>
        </xdr:from>
        <xdr:to>
          <xdr:col>12</xdr:col>
          <xdr:colOff>1323975</xdr:colOff>
          <xdr:row>19</xdr:row>
          <xdr:rowOff>142875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F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Varaa aika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1409700</xdr:colOff>
          <xdr:row>18</xdr:row>
          <xdr:rowOff>76200</xdr:rowOff>
        </xdr:from>
        <xdr:to>
          <xdr:col>14</xdr:col>
          <xdr:colOff>581025</xdr:colOff>
          <xdr:row>19</xdr:row>
          <xdr:rowOff>142875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F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Poista aika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1085849</xdr:colOff>
      <xdr:row>16</xdr:row>
      <xdr:rowOff>152400</xdr:rowOff>
    </xdr:from>
    <xdr:to>
      <xdr:col>13</xdr:col>
      <xdr:colOff>257174</xdr:colOff>
      <xdr:row>17</xdr:row>
      <xdr:rowOff>133350</xdr:rowOff>
    </xdr:to>
    <xdr:sp macro="" textlink="">
      <xdr:nvSpPr>
        <xdr:cNvPr id="14" name="Arrow: Right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5106649" y="3362325"/>
          <a:ext cx="657225" cy="171450"/>
        </a:xfrm>
        <a:prstGeom prst="rightArrow">
          <a:avLst/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FI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25</xdr:row>
          <xdr:rowOff>28575</xdr:rowOff>
        </xdr:from>
        <xdr:to>
          <xdr:col>12</xdr:col>
          <xdr:colOff>1419225</xdr:colOff>
          <xdr:row>26</xdr:row>
          <xdr:rowOff>152400</xdr:rowOff>
        </xdr:to>
        <xdr:sp macro="" textlink="">
          <xdr:nvSpPr>
            <xdr:cNvPr id="2060" name="Drop Dow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28</xdr:row>
          <xdr:rowOff>0</xdr:rowOff>
        </xdr:from>
        <xdr:to>
          <xdr:col>14</xdr:col>
          <xdr:colOff>600075</xdr:colOff>
          <xdr:row>29</xdr:row>
          <xdr:rowOff>171450</xdr:rowOff>
        </xdr:to>
        <xdr:sp macro="" textlink="">
          <xdr:nvSpPr>
            <xdr:cNvPr id="2061" name="Scroll Bar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1476375</xdr:colOff>
          <xdr:row>25</xdr:row>
          <xdr:rowOff>38100</xdr:rowOff>
        </xdr:from>
        <xdr:to>
          <xdr:col>14</xdr:col>
          <xdr:colOff>581025</xdr:colOff>
          <xdr:row>26</xdr:row>
          <xdr:rowOff>142875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F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Kopioi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35</xdr:row>
          <xdr:rowOff>66675</xdr:rowOff>
        </xdr:from>
        <xdr:to>
          <xdr:col>12</xdr:col>
          <xdr:colOff>1276350</xdr:colOff>
          <xdr:row>36</xdr:row>
          <xdr:rowOff>133350</xdr:rowOff>
        </xdr:to>
        <xdr:sp macro="" textlink="">
          <xdr:nvSpPr>
            <xdr:cNvPr id="2063" name="Drop Dow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1362075</xdr:colOff>
          <xdr:row>35</xdr:row>
          <xdr:rowOff>76200</xdr:rowOff>
        </xdr:from>
        <xdr:to>
          <xdr:col>14</xdr:col>
          <xdr:colOff>381000</xdr:colOff>
          <xdr:row>36</xdr:row>
          <xdr:rowOff>142875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847725</xdr:colOff>
          <xdr:row>37</xdr:row>
          <xdr:rowOff>47625</xdr:rowOff>
        </xdr:from>
        <xdr:to>
          <xdr:col>13</xdr:col>
          <xdr:colOff>304800</xdr:colOff>
          <xdr:row>38</xdr:row>
          <xdr:rowOff>152400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F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Muokkaa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371475</xdr:colOff>
      <xdr:row>5</xdr:row>
      <xdr:rowOff>180975</xdr:rowOff>
    </xdr:from>
    <xdr:to>
      <xdr:col>21</xdr:col>
      <xdr:colOff>371475</xdr:colOff>
      <xdr:row>6</xdr:row>
      <xdr:rowOff>180975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CxnSpPr/>
      </xdr:nvCxnSpPr>
      <xdr:spPr>
        <a:xfrm flipV="1">
          <a:off x="22517100" y="1276350"/>
          <a:ext cx="0" cy="2000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45</xdr:row>
          <xdr:rowOff>38100</xdr:rowOff>
        </xdr:from>
        <xdr:to>
          <xdr:col>12</xdr:col>
          <xdr:colOff>781050</xdr:colOff>
          <xdr:row>46</xdr:row>
          <xdr:rowOff>142875</xdr:rowOff>
        </xdr:to>
        <xdr:sp macro="" textlink="">
          <xdr:nvSpPr>
            <xdr:cNvPr id="2072" name="Drop Dow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45</xdr:row>
          <xdr:rowOff>47625</xdr:rowOff>
        </xdr:from>
        <xdr:to>
          <xdr:col>13</xdr:col>
          <xdr:colOff>742950</xdr:colOff>
          <xdr:row>46</xdr:row>
          <xdr:rowOff>142875</xdr:rowOff>
        </xdr:to>
        <xdr:sp macro="" textlink="">
          <xdr:nvSpPr>
            <xdr:cNvPr id="2073" name="Drop Dow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1276350</xdr:colOff>
          <xdr:row>47</xdr:row>
          <xdr:rowOff>57150</xdr:rowOff>
        </xdr:from>
        <xdr:to>
          <xdr:col>13</xdr:col>
          <xdr:colOff>752475</xdr:colOff>
          <xdr:row>48</xdr:row>
          <xdr:rowOff>133350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F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Suodata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46</xdr:row>
          <xdr:rowOff>152400</xdr:rowOff>
        </xdr:from>
        <xdr:to>
          <xdr:col>12</xdr:col>
          <xdr:colOff>1457325</xdr:colOff>
          <xdr:row>48</xdr:row>
          <xdr:rowOff>57150</xdr:rowOff>
        </xdr:to>
        <xdr:sp macro="" textlink="">
          <xdr:nvSpPr>
            <xdr:cNvPr id="2075" name="Option 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FI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Opiskelijat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48</xdr:row>
          <xdr:rowOff>47625</xdr:rowOff>
        </xdr:from>
        <xdr:to>
          <xdr:col>12</xdr:col>
          <xdr:colOff>1133475</xdr:colOff>
          <xdr:row>49</xdr:row>
          <xdr:rowOff>76200</xdr:rowOff>
        </xdr:to>
        <xdr:sp macro="" textlink="">
          <xdr:nvSpPr>
            <xdr:cNvPr id="2076" name="Option 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FI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Ei-opiskelijat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49</xdr:row>
          <xdr:rowOff>66675</xdr:rowOff>
        </xdr:from>
        <xdr:to>
          <xdr:col>12</xdr:col>
          <xdr:colOff>1238250</xdr:colOff>
          <xdr:row>50</xdr:row>
          <xdr:rowOff>152400</xdr:rowOff>
        </xdr:to>
        <xdr:sp macro="" textlink="">
          <xdr:nvSpPr>
            <xdr:cNvPr id="2077" name="Option 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FI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Ei väliä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1276350</xdr:colOff>
          <xdr:row>49</xdr:row>
          <xdr:rowOff>19050</xdr:rowOff>
        </xdr:from>
        <xdr:to>
          <xdr:col>13</xdr:col>
          <xdr:colOff>752475</xdr:colOff>
          <xdr:row>50</xdr:row>
          <xdr:rowOff>95250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F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Poista tulokset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857250</xdr:colOff>
      <xdr:row>45</xdr:row>
      <xdr:rowOff>114300</xdr:rowOff>
    </xdr:from>
    <xdr:to>
      <xdr:col>13</xdr:col>
      <xdr:colOff>0</xdr:colOff>
      <xdr:row>46</xdr:row>
      <xdr:rowOff>85725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878050" y="10372725"/>
          <a:ext cx="628650" cy="1619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FI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7</xdr:row>
          <xdr:rowOff>85725</xdr:rowOff>
        </xdr:from>
        <xdr:to>
          <xdr:col>13</xdr:col>
          <xdr:colOff>219075</xdr:colOff>
          <xdr:row>8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F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Päivävaraus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285750</xdr:colOff>
          <xdr:row>7</xdr:row>
          <xdr:rowOff>85725</xdr:rowOff>
        </xdr:from>
        <xdr:to>
          <xdr:col>14</xdr:col>
          <xdr:colOff>561975</xdr:colOff>
          <xdr:row>8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F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Päivän poisto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10</xdr:row>
          <xdr:rowOff>161925</xdr:rowOff>
        </xdr:from>
        <xdr:to>
          <xdr:col>14</xdr:col>
          <xdr:colOff>228600</xdr:colOff>
          <xdr:row>12</xdr:row>
          <xdr:rowOff>47625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F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Viikon varaus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295275</xdr:colOff>
          <xdr:row>9</xdr:row>
          <xdr:rowOff>9525</xdr:rowOff>
        </xdr:from>
        <xdr:to>
          <xdr:col>14</xdr:col>
          <xdr:colOff>276225</xdr:colOff>
          <xdr:row>10</xdr:row>
          <xdr:rowOff>133350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F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Viikonlopun varaus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733425</xdr:colOff>
          <xdr:row>5</xdr:row>
          <xdr:rowOff>76200</xdr:rowOff>
        </xdr:from>
        <xdr:to>
          <xdr:col>13</xdr:col>
          <xdr:colOff>571500</xdr:colOff>
          <xdr:row>6</xdr:row>
          <xdr:rowOff>114300</xdr:rowOff>
        </xdr:to>
        <xdr:sp macro="" textlink="">
          <xdr:nvSpPr>
            <xdr:cNvPr id="3077" name="Drop Dow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16</xdr:row>
          <xdr:rowOff>142875</xdr:rowOff>
        </xdr:from>
        <xdr:to>
          <xdr:col>12</xdr:col>
          <xdr:colOff>1038225</xdr:colOff>
          <xdr:row>17</xdr:row>
          <xdr:rowOff>152400</xdr:rowOff>
        </xdr:to>
        <xdr:sp macro="" textlink="">
          <xdr:nvSpPr>
            <xdr:cNvPr id="3080" name="Drop Dow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16</xdr:row>
          <xdr:rowOff>133350</xdr:rowOff>
        </xdr:from>
        <xdr:to>
          <xdr:col>14</xdr:col>
          <xdr:colOff>361950</xdr:colOff>
          <xdr:row>17</xdr:row>
          <xdr:rowOff>142875</xdr:rowOff>
        </xdr:to>
        <xdr:sp macro="" textlink="">
          <xdr:nvSpPr>
            <xdr:cNvPr id="3081" name="Drop Dow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18</xdr:row>
          <xdr:rowOff>76200</xdr:rowOff>
        </xdr:from>
        <xdr:to>
          <xdr:col>12</xdr:col>
          <xdr:colOff>1333500</xdr:colOff>
          <xdr:row>19</xdr:row>
          <xdr:rowOff>142875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F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Varaa aika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1371600</xdr:colOff>
          <xdr:row>18</xdr:row>
          <xdr:rowOff>66675</xdr:rowOff>
        </xdr:from>
        <xdr:to>
          <xdr:col>14</xdr:col>
          <xdr:colOff>552450</xdr:colOff>
          <xdr:row>19</xdr:row>
          <xdr:rowOff>133350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F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Poista aika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323850</xdr:colOff>
      <xdr:row>3</xdr:row>
      <xdr:rowOff>190500</xdr:rowOff>
    </xdr:from>
    <xdr:to>
      <xdr:col>21</xdr:col>
      <xdr:colOff>323850</xdr:colOff>
      <xdr:row>4</xdr:row>
      <xdr:rowOff>180975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>
        <a:xfrm flipV="1">
          <a:off x="19288125" y="904875"/>
          <a:ext cx="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1076324</xdr:colOff>
      <xdr:row>16</xdr:row>
      <xdr:rowOff>171451</xdr:rowOff>
    </xdr:from>
    <xdr:to>
      <xdr:col>13</xdr:col>
      <xdr:colOff>190499</xdr:colOff>
      <xdr:row>17</xdr:row>
      <xdr:rowOff>114301</xdr:rowOff>
    </xdr:to>
    <xdr:sp macro="" textlink="">
      <xdr:nvSpPr>
        <xdr:cNvPr id="14" name="Arrow: Righ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15097124" y="3381376"/>
          <a:ext cx="600075" cy="133350"/>
        </a:xfrm>
        <a:prstGeom prst="rightArrow">
          <a:avLst/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FI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25</xdr:row>
          <xdr:rowOff>28575</xdr:rowOff>
        </xdr:from>
        <xdr:to>
          <xdr:col>12</xdr:col>
          <xdr:colOff>1419225</xdr:colOff>
          <xdr:row>26</xdr:row>
          <xdr:rowOff>152400</xdr:rowOff>
        </xdr:to>
        <xdr:sp macro="" textlink="">
          <xdr:nvSpPr>
            <xdr:cNvPr id="3084" name="Drop Dow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28</xdr:row>
          <xdr:rowOff>0</xdr:rowOff>
        </xdr:from>
        <xdr:to>
          <xdr:col>14</xdr:col>
          <xdr:colOff>600075</xdr:colOff>
          <xdr:row>29</xdr:row>
          <xdr:rowOff>171450</xdr:rowOff>
        </xdr:to>
        <xdr:sp macro="" textlink="">
          <xdr:nvSpPr>
            <xdr:cNvPr id="3085" name="Scroll Bar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1457325</xdr:colOff>
          <xdr:row>25</xdr:row>
          <xdr:rowOff>47625</xdr:rowOff>
        </xdr:from>
        <xdr:to>
          <xdr:col>14</xdr:col>
          <xdr:colOff>561975</xdr:colOff>
          <xdr:row>26</xdr:row>
          <xdr:rowOff>152400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2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F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Kopioi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35</xdr:row>
          <xdr:rowOff>76200</xdr:rowOff>
        </xdr:from>
        <xdr:to>
          <xdr:col>12</xdr:col>
          <xdr:colOff>1276350</xdr:colOff>
          <xdr:row>36</xdr:row>
          <xdr:rowOff>142875</xdr:rowOff>
        </xdr:to>
        <xdr:sp macro="" textlink="">
          <xdr:nvSpPr>
            <xdr:cNvPr id="3087" name="Drop Dow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1362075</xdr:colOff>
          <xdr:row>35</xdr:row>
          <xdr:rowOff>76200</xdr:rowOff>
        </xdr:from>
        <xdr:to>
          <xdr:col>14</xdr:col>
          <xdr:colOff>381000</xdr:colOff>
          <xdr:row>36</xdr:row>
          <xdr:rowOff>142875</xdr:rowOff>
        </xdr:to>
        <xdr:sp macro="" textlink="">
          <xdr:nvSpPr>
            <xdr:cNvPr id="3088" name="Drop Dow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847725</xdr:colOff>
          <xdr:row>37</xdr:row>
          <xdr:rowOff>47625</xdr:rowOff>
        </xdr:from>
        <xdr:to>
          <xdr:col>13</xdr:col>
          <xdr:colOff>304800</xdr:colOff>
          <xdr:row>38</xdr:row>
          <xdr:rowOff>152400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2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F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Muokkaa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371475</xdr:colOff>
      <xdr:row>5</xdr:row>
      <xdr:rowOff>180975</xdr:rowOff>
    </xdr:from>
    <xdr:to>
      <xdr:col>21</xdr:col>
      <xdr:colOff>371475</xdr:colOff>
      <xdr:row>6</xdr:row>
      <xdr:rowOff>180975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CxnSpPr/>
      </xdr:nvCxnSpPr>
      <xdr:spPr>
        <a:xfrm flipV="1">
          <a:off x="22517100" y="1276350"/>
          <a:ext cx="0" cy="2000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45</xdr:row>
          <xdr:rowOff>38100</xdr:rowOff>
        </xdr:from>
        <xdr:to>
          <xdr:col>12</xdr:col>
          <xdr:colOff>819150</xdr:colOff>
          <xdr:row>46</xdr:row>
          <xdr:rowOff>142875</xdr:rowOff>
        </xdr:to>
        <xdr:sp macro="" textlink="">
          <xdr:nvSpPr>
            <xdr:cNvPr id="3096" name="Drop Dow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2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45</xdr:row>
          <xdr:rowOff>47625</xdr:rowOff>
        </xdr:from>
        <xdr:to>
          <xdr:col>13</xdr:col>
          <xdr:colOff>742950</xdr:colOff>
          <xdr:row>46</xdr:row>
          <xdr:rowOff>142875</xdr:rowOff>
        </xdr:to>
        <xdr:sp macro="" textlink="">
          <xdr:nvSpPr>
            <xdr:cNvPr id="3097" name="Drop Dow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2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1276350</xdr:colOff>
          <xdr:row>47</xdr:row>
          <xdr:rowOff>57150</xdr:rowOff>
        </xdr:from>
        <xdr:to>
          <xdr:col>13</xdr:col>
          <xdr:colOff>752475</xdr:colOff>
          <xdr:row>48</xdr:row>
          <xdr:rowOff>133350</xdr:rowOff>
        </xdr:to>
        <xdr:sp macro="" textlink="">
          <xdr:nvSpPr>
            <xdr:cNvPr id="3098" name="Button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2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F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Suodata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46</xdr:row>
          <xdr:rowOff>152400</xdr:rowOff>
        </xdr:from>
        <xdr:to>
          <xdr:col>12</xdr:col>
          <xdr:colOff>1457325</xdr:colOff>
          <xdr:row>48</xdr:row>
          <xdr:rowOff>57150</xdr:rowOff>
        </xdr:to>
        <xdr:sp macro="" textlink="">
          <xdr:nvSpPr>
            <xdr:cNvPr id="3099" name="Option Button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2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FI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Opiskelijat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48</xdr:row>
          <xdr:rowOff>47625</xdr:rowOff>
        </xdr:from>
        <xdr:to>
          <xdr:col>12</xdr:col>
          <xdr:colOff>1133475</xdr:colOff>
          <xdr:row>49</xdr:row>
          <xdr:rowOff>76200</xdr:rowOff>
        </xdr:to>
        <xdr:sp macro="" textlink="">
          <xdr:nvSpPr>
            <xdr:cNvPr id="3100" name="Option Button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2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FI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Ei-opiskelijat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49</xdr:row>
          <xdr:rowOff>66675</xdr:rowOff>
        </xdr:from>
        <xdr:to>
          <xdr:col>12</xdr:col>
          <xdr:colOff>1238250</xdr:colOff>
          <xdr:row>50</xdr:row>
          <xdr:rowOff>152400</xdr:rowOff>
        </xdr:to>
        <xdr:sp macro="" textlink="">
          <xdr:nvSpPr>
            <xdr:cNvPr id="3101" name="Option Button 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2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FI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Ei väliä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1276350</xdr:colOff>
          <xdr:row>49</xdr:row>
          <xdr:rowOff>19050</xdr:rowOff>
        </xdr:from>
        <xdr:to>
          <xdr:col>13</xdr:col>
          <xdr:colOff>752475</xdr:colOff>
          <xdr:row>50</xdr:row>
          <xdr:rowOff>95250</xdr:rowOff>
        </xdr:to>
        <xdr:sp macro="" textlink="">
          <xdr:nvSpPr>
            <xdr:cNvPr id="3102" name="Button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2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F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Poista tulokset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895350</xdr:colOff>
      <xdr:row>45</xdr:row>
      <xdr:rowOff>123825</xdr:rowOff>
    </xdr:from>
    <xdr:to>
      <xdr:col>12</xdr:col>
      <xdr:colOff>1466850</xdr:colOff>
      <xdr:row>46</xdr:row>
      <xdr:rowOff>76200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4916150" y="9810750"/>
          <a:ext cx="571500" cy="1428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FI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7</xdr:row>
          <xdr:rowOff>85725</xdr:rowOff>
        </xdr:from>
        <xdr:to>
          <xdr:col>13</xdr:col>
          <xdr:colOff>219075</xdr:colOff>
          <xdr:row>8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F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Päivävaraus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285750</xdr:colOff>
          <xdr:row>7</xdr:row>
          <xdr:rowOff>85725</xdr:rowOff>
        </xdr:from>
        <xdr:to>
          <xdr:col>14</xdr:col>
          <xdr:colOff>561975</xdr:colOff>
          <xdr:row>8</xdr:row>
          <xdr:rowOff>152400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F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Päivän poisto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352425</xdr:colOff>
          <xdr:row>10</xdr:row>
          <xdr:rowOff>152400</xdr:rowOff>
        </xdr:from>
        <xdr:to>
          <xdr:col>14</xdr:col>
          <xdr:colOff>219075</xdr:colOff>
          <xdr:row>12</xdr:row>
          <xdr:rowOff>38100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F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Viikon varaus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304800</xdr:colOff>
          <xdr:row>9</xdr:row>
          <xdr:rowOff>0</xdr:rowOff>
        </xdr:from>
        <xdr:to>
          <xdr:col>14</xdr:col>
          <xdr:colOff>285750</xdr:colOff>
          <xdr:row>10</xdr:row>
          <xdr:rowOff>123825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F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Viikonlopun varaus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638175</xdr:colOff>
          <xdr:row>5</xdr:row>
          <xdr:rowOff>66675</xdr:rowOff>
        </xdr:from>
        <xdr:to>
          <xdr:col>13</xdr:col>
          <xdr:colOff>590550</xdr:colOff>
          <xdr:row>6</xdr:row>
          <xdr:rowOff>104775</xdr:rowOff>
        </xdr:to>
        <xdr:sp macro="" textlink="">
          <xdr:nvSpPr>
            <xdr:cNvPr id="4101" name="Drop Dow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16</xdr:row>
          <xdr:rowOff>142875</xdr:rowOff>
        </xdr:from>
        <xdr:to>
          <xdr:col>12</xdr:col>
          <xdr:colOff>1038225</xdr:colOff>
          <xdr:row>17</xdr:row>
          <xdr:rowOff>152400</xdr:rowOff>
        </xdr:to>
        <xdr:sp macro="" textlink="">
          <xdr:nvSpPr>
            <xdr:cNvPr id="4104" name="Drop Dow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16</xdr:row>
          <xdr:rowOff>133350</xdr:rowOff>
        </xdr:from>
        <xdr:to>
          <xdr:col>14</xdr:col>
          <xdr:colOff>361950</xdr:colOff>
          <xdr:row>17</xdr:row>
          <xdr:rowOff>142875</xdr:rowOff>
        </xdr:to>
        <xdr:sp macro="" textlink="">
          <xdr:nvSpPr>
            <xdr:cNvPr id="4105" name="Drop Dow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18</xdr:row>
          <xdr:rowOff>76200</xdr:rowOff>
        </xdr:from>
        <xdr:to>
          <xdr:col>13</xdr:col>
          <xdr:colOff>47625</xdr:colOff>
          <xdr:row>19</xdr:row>
          <xdr:rowOff>142875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F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Varaa aika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18</xdr:row>
          <xdr:rowOff>76200</xdr:rowOff>
        </xdr:from>
        <xdr:to>
          <xdr:col>14</xdr:col>
          <xdr:colOff>542925</xdr:colOff>
          <xdr:row>19</xdr:row>
          <xdr:rowOff>142875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F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Poista aika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323850</xdr:colOff>
      <xdr:row>3</xdr:row>
      <xdr:rowOff>190500</xdr:rowOff>
    </xdr:from>
    <xdr:to>
      <xdr:col>21</xdr:col>
      <xdr:colOff>323850</xdr:colOff>
      <xdr:row>4</xdr:row>
      <xdr:rowOff>180975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CxnSpPr/>
      </xdr:nvCxnSpPr>
      <xdr:spPr>
        <a:xfrm flipV="1">
          <a:off x="19288125" y="904875"/>
          <a:ext cx="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1085850</xdr:colOff>
      <xdr:row>16</xdr:row>
      <xdr:rowOff>161925</xdr:rowOff>
    </xdr:from>
    <xdr:to>
      <xdr:col>13</xdr:col>
      <xdr:colOff>209550</xdr:colOff>
      <xdr:row>17</xdr:row>
      <xdr:rowOff>114300</xdr:rowOff>
    </xdr:to>
    <xdr:sp macro="" textlink="">
      <xdr:nvSpPr>
        <xdr:cNvPr id="14" name="Arrow: Right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15621000" y="3362325"/>
          <a:ext cx="304800" cy="142875"/>
        </a:xfrm>
        <a:prstGeom prst="rightArrow">
          <a:avLst/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FI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25</xdr:row>
          <xdr:rowOff>28575</xdr:rowOff>
        </xdr:from>
        <xdr:to>
          <xdr:col>12</xdr:col>
          <xdr:colOff>1381125</xdr:colOff>
          <xdr:row>26</xdr:row>
          <xdr:rowOff>152400</xdr:rowOff>
        </xdr:to>
        <xdr:sp macro="" textlink="">
          <xdr:nvSpPr>
            <xdr:cNvPr id="4111" name="Drop Dow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28</xdr:row>
          <xdr:rowOff>0</xdr:rowOff>
        </xdr:from>
        <xdr:to>
          <xdr:col>14</xdr:col>
          <xdr:colOff>600075</xdr:colOff>
          <xdr:row>29</xdr:row>
          <xdr:rowOff>171450</xdr:rowOff>
        </xdr:to>
        <xdr:sp macro="" textlink="">
          <xdr:nvSpPr>
            <xdr:cNvPr id="4112" name="Scroll Bar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1419225</xdr:colOff>
          <xdr:row>25</xdr:row>
          <xdr:rowOff>38100</xdr:rowOff>
        </xdr:from>
        <xdr:to>
          <xdr:col>14</xdr:col>
          <xdr:colOff>561975</xdr:colOff>
          <xdr:row>26</xdr:row>
          <xdr:rowOff>142875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F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Kopioi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35</xdr:row>
          <xdr:rowOff>76200</xdr:rowOff>
        </xdr:from>
        <xdr:to>
          <xdr:col>12</xdr:col>
          <xdr:colOff>1276350</xdr:colOff>
          <xdr:row>36</xdr:row>
          <xdr:rowOff>142875</xdr:rowOff>
        </xdr:to>
        <xdr:sp macro="" textlink="">
          <xdr:nvSpPr>
            <xdr:cNvPr id="4114" name="Drop Dow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1362075</xdr:colOff>
          <xdr:row>35</xdr:row>
          <xdr:rowOff>76200</xdr:rowOff>
        </xdr:from>
        <xdr:to>
          <xdr:col>14</xdr:col>
          <xdr:colOff>381000</xdr:colOff>
          <xdr:row>36</xdr:row>
          <xdr:rowOff>142875</xdr:rowOff>
        </xdr:to>
        <xdr:sp macro="" textlink="">
          <xdr:nvSpPr>
            <xdr:cNvPr id="4115" name="Drop Dow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847725</xdr:colOff>
          <xdr:row>37</xdr:row>
          <xdr:rowOff>47625</xdr:rowOff>
        </xdr:from>
        <xdr:to>
          <xdr:col>13</xdr:col>
          <xdr:colOff>304800</xdr:colOff>
          <xdr:row>38</xdr:row>
          <xdr:rowOff>152400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F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Muokkaa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371475</xdr:colOff>
      <xdr:row>5</xdr:row>
      <xdr:rowOff>180975</xdr:rowOff>
    </xdr:from>
    <xdr:to>
      <xdr:col>21</xdr:col>
      <xdr:colOff>371475</xdr:colOff>
      <xdr:row>6</xdr:row>
      <xdr:rowOff>180975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CxnSpPr/>
      </xdr:nvCxnSpPr>
      <xdr:spPr>
        <a:xfrm flipV="1">
          <a:off x="22517100" y="1276350"/>
          <a:ext cx="0" cy="2000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45</xdr:row>
          <xdr:rowOff>38100</xdr:rowOff>
        </xdr:from>
        <xdr:to>
          <xdr:col>12</xdr:col>
          <xdr:colOff>866775</xdr:colOff>
          <xdr:row>46</xdr:row>
          <xdr:rowOff>142875</xdr:rowOff>
        </xdr:to>
        <xdr:sp macro="" textlink="">
          <xdr:nvSpPr>
            <xdr:cNvPr id="4122" name="Drop Dow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1466850</xdr:colOff>
          <xdr:row>45</xdr:row>
          <xdr:rowOff>47625</xdr:rowOff>
        </xdr:from>
        <xdr:to>
          <xdr:col>13</xdr:col>
          <xdr:colOff>752475</xdr:colOff>
          <xdr:row>46</xdr:row>
          <xdr:rowOff>142875</xdr:rowOff>
        </xdr:to>
        <xdr:sp macro="" textlink="">
          <xdr:nvSpPr>
            <xdr:cNvPr id="4123" name="Drop Dow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1276350</xdr:colOff>
          <xdr:row>47</xdr:row>
          <xdr:rowOff>57150</xdr:rowOff>
        </xdr:from>
        <xdr:to>
          <xdr:col>13</xdr:col>
          <xdr:colOff>752475</xdr:colOff>
          <xdr:row>48</xdr:row>
          <xdr:rowOff>133350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F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Suodata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46</xdr:row>
          <xdr:rowOff>152400</xdr:rowOff>
        </xdr:from>
        <xdr:to>
          <xdr:col>12</xdr:col>
          <xdr:colOff>1457325</xdr:colOff>
          <xdr:row>48</xdr:row>
          <xdr:rowOff>57150</xdr:rowOff>
        </xdr:to>
        <xdr:sp macro="" textlink="">
          <xdr:nvSpPr>
            <xdr:cNvPr id="4125" name="Option 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FI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Opiskelijat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48</xdr:row>
          <xdr:rowOff>47625</xdr:rowOff>
        </xdr:from>
        <xdr:to>
          <xdr:col>12</xdr:col>
          <xdr:colOff>1133475</xdr:colOff>
          <xdr:row>49</xdr:row>
          <xdr:rowOff>76200</xdr:rowOff>
        </xdr:to>
        <xdr:sp macro="" textlink="">
          <xdr:nvSpPr>
            <xdr:cNvPr id="4126" name="Option 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FI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Ei-opiskelijat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49</xdr:row>
          <xdr:rowOff>66675</xdr:rowOff>
        </xdr:from>
        <xdr:to>
          <xdr:col>12</xdr:col>
          <xdr:colOff>1238250</xdr:colOff>
          <xdr:row>50</xdr:row>
          <xdr:rowOff>152400</xdr:rowOff>
        </xdr:to>
        <xdr:sp macro="" textlink="">
          <xdr:nvSpPr>
            <xdr:cNvPr id="4127" name="Option 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FI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Ei väliä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1276350</xdr:colOff>
          <xdr:row>49</xdr:row>
          <xdr:rowOff>19050</xdr:rowOff>
        </xdr:from>
        <xdr:to>
          <xdr:col>13</xdr:col>
          <xdr:colOff>752475</xdr:colOff>
          <xdr:row>50</xdr:row>
          <xdr:rowOff>95250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F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Poista tulokset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942975</xdr:colOff>
      <xdr:row>45</xdr:row>
      <xdr:rowOff>114300</xdr:rowOff>
    </xdr:from>
    <xdr:to>
      <xdr:col>12</xdr:col>
      <xdr:colOff>1438275</xdr:colOff>
      <xdr:row>46</xdr:row>
      <xdr:rowOff>104775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4963775" y="9801225"/>
          <a:ext cx="495300" cy="1809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FI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Pavel" refreshedDate="44696.746843287037" createdVersion="7" refreshedVersion="7" minRefreshableVersion="3" recordCount="153" xr:uid="{2BED6BCE-4B54-4FB7-8AF1-9A0D4A357473}">
  <cacheSource type="worksheet">
    <worksheetSource name="Jetlyfetaulukko"/>
  </cacheSource>
  <cacheFields count="9">
    <cacheField name="Nimi" numFmtId="49">
      <sharedItems containsBlank="1" count="6">
        <s v="Matti Meikäläinen"/>
        <m/>
        <s v="Ezekiel Eboji" u="1"/>
        <s v="Leanne Haapamäki" u="1"/>
        <s v="PT Vatanen ja kumppanit" u="1"/>
        <s v="Otto Ruokojoki" u="1"/>
      </sharedItems>
    </cacheField>
    <cacheField name="Luku Kalenteria varten" numFmtId="0">
      <sharedItems containsString="0" containsBlank="1" containsNumber="1" containsInteger="1" minValue="1" maxValue="1"/>
    </cacheField>
    <cacheField name="Aikaisempi kokemus (vapaa sana)" numFmtId="49">
      <sharedItems containsBlank="1"/>
    </cacheField>
    <cacheField name="Opiskelija?" numFmtId="49">
      <sharedItems containsBlank="1"/>
    </cacheField>
    <cacheField name="Puhelinnumero" numFmtId="49">
      <sharedItems containsBlank="1"/>
    </cacheField>
    <cacheField name="Sähköposti" numFmtId="0">
      <sharedItems containsBlank="1"/>
    </cacheField>
    <cacheField name="Osoite" numFmtId="0">
      <sharedItems containsBlank="1"/>
    </cacheField>
    <cacheField name="Kieli" numFmtId="0">
      <sharedItems containsBlank="1"/>
    </cacheField>
    <cacheField name="Hinta" numFmtId="164">
      <sharedItems containsString="0" containsBlank="1" containsNumber="1" containsInteger="1" minValue="180" maxValue="18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Pavel" refreshedDate="44696.752865740738" createdVersion="7" refreshedVersion="7" minRefreshableVersion="3" recordCount="153" xr:uid="{AC6CCDB5-0D19-4C5D-9EEE-68CE573389D3}">
  <cacheSource type="worksheet">
    <worksheetSource name="Jetlyfetaulukko4"/>
  </cacheSource>
  <cacheFields count="9">
    <cacheField name="Nimi" numFmtId="49">
      <sharedItems containsBlank="1" count="3">
        <m/>
        <s v="Kaapo"/>
        <s v="PT Vatanen ja kumppanit" u="1"/>
      </sharedItems>
    </cacheField>
    <cacheField name="Luku Kalenteria varten" numFmtId="0">
      <sharedItems containsString="0" containsBlank="1" containsNumber="1" containsInteger="1" minValue="1" maxValue="1"/>
    </cacheField>
    <cacheField name="Aikaisempi kokemus (vapaa sana)" numFmtId="49">
      <sharedItems containsBlank="1"/>
    </cacheField>
    <cacheField name="Opiskelija?" numFmtId="49">
      <sharedItems containsBlank="1"/>
    </cacheField>
    <cacheField name="Puhelinnumero" numFmtId="49">
      <sharedItems containsBlank="1"/>
    </cacheField>
    <cacheField name="Sähköposti" numFmtId="0">
      <sharedItems containsBlank="1"/>
    </cacheField>
    <cacheField name="Osoite" numFmtId="0">
      <sharedItems containsBlank="1"/>
    </cacheField>
    <cacheField name="Kieli" numFmtId="0">
      <sharedItems containsBlank="1"/>
    </cacheField>
    <cacheField name="Hinta" numFmtId="164">
      <sharedItems containsString="0" containsBlank="1" containsNumber="1" containsInteger="1" minValue="40" maxValue="4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Pavel" refreshedDate="44696.759921527781" createdVersion="7" refreshedVersion="7" minRefreshableVersion="3" recordCount="153" xr:uid="{6BDC88B8-66AB-4425-AA68-7F6C8B2C0D1F}">
  <cacheSource type="worksheet">
    <worksheetSource name="Jetlyfetaulukko5"/>
  </cacheSource>
  <cacheFields count="9">
    <cacheField name="Nimi" numFmtId="49">
      <sharedItems containsBlank="1" count="4">
        <m/>
        <s v="Pavel"/>
        <s v="p"/>
        <s v="PT Vatanen ja kumppanit" u="1"/>
      </sharedItems>
    </cacheField>
    <cacheField name="Luku Kalenteria varten" numFmtId="0">
      <sharedItems containsString="0" containsBlank="1" containsNumber="1" containsInteger="1" minValue="1" maxValue="1"/>
    </cacheField>
    <cacheField name="Aikaisempi kokemus (vapaa sana)" numFmtId="49">
      <sharedItems containsBlank="1"/>
    </cacheField>
    <cacheField name="Opiskelija?" numFmtId="49">
      <sharedItems containsBlank="1"/>
    </cacheField>
    <cacheField name="Puhelinnumero" numFmtId="49">
      <sharedItems containsBlank="1"/>
    </cacheField>
    <cacheField name="Sähköposti" numFmtId="0">
      <sharedItems containsBlank="1"/>
    </cacheField>
    <cacheField name="Osoite" numFmtId="0">
      <sharedItems containsBlank="1"/>
    </cacheField>
    <cacheField name="Kieli" numFmtId="0">
      <sharedItems containsBlank="1"/>
    </cacheField>
    <cacheField name="Hinta" numFmtId="164">
      <sharedItems containsString="0" containsBlank="1" containsNumber="1" containsInteger="1" minValue="40" maxValue="18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Pavel" refreshedDate="44696.776563541665" createdVersion="7" refreshedVersion="7" minRefreshableVersion="3" recordCount="153" xr:uid="{4BD6AB6B-C34A-4D33-9AE7-3A85B3536687}">
  <cacheSource type="worksheet">
    <worksheetSource name="Jetlyfetaulukko3"/>
  </cacheSource>
  <cacheFields count="9">
    <cacheField name="Nimi" numFmtId="49">
      <sharedItems containsBlank="1" count="7">
        <m/>
        <s v="Maija Mehiläinen"/>
        <s v="p"/>
        <s v="Ezekiel Eboji" u="1"/>
        <s v="Daniel Moilanen" u="1"/>
        <s v="Leanne Haapamäki" u="1"/>
        <s v="PT Vatanen ja kumppanit" u="1"/>
      </sharedItems>
    </cacheField>
    <cacheField name="Luku Kalenteria varten" numFmtId="0">
      <sharedItems containsString="0" containsBlank="1" containsNumber="1" containsInteger="1" minValue="1" maxValue="1"/>
    </cacheField>
    <cacheField name="Aikaisempi kokemus (vapaa sana)" numFmtId="49">
      <sharedItems containsBlank="1"/>
    </cacheField>
    <cacheField name="Opiskelija?" numFmtId="49">
      <sharedItems containsBlank="1"/>
    </cacheField>
    <cacheField name="Puhelinnumero" numFmtId="49">
      <sharedItems containsBlank="1"/>
    </cacheField>
    <cacheField name="Sähköposti" numFmtId="0">
      <sharedItems containsBlank="1"/>
    </cacheField>
    <cacheField name="Osoite" numFmtId="0">
      <sharedItems containsBlank="1"/>
    </cacheField>
    <cacheField name="Kieli" numFmtId="0">
      <sharedItems containsBlank="1"/>
    </cacheField>
    <cacheField name="Hinta" numFmtId="164">
      <sharedItems containsString="0" containsBlank="1" containsNumber="1" containsInteger="1" minValue="80" maxValue="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3">
  <r>
    <x v="0"/>
    <n v="1"/>
    <s v="Jotain pientä"/>
    <s v="Kyllä"/>
    <s v="01023"/>
    <s v="@"/>
    <s v="Vaasa"/>
    <s v="suomi"/>
    <n v="180"/>
  </r>
  <r>
    <x v="0"/>
    <n v="1"/>
    <s v="Jotain pientä"/>
    <s v="Kyllä"/>
    <s v="01023"/>
    <s v="@"/>
    <s v="Vaasa"/>
    <s v="suomi"/>
    <n v="180"/>
  </r>
  <r>
    <x v="0"/>
    <n v="1"/>
    <s v="Jotain pientä"/>
    <s v="Kyllä"/>
    <s v="01023"/>
    <s v="@"/>
    <s v="Vaasa"/>
    <s v="suomi"/>
    <n v="180"/>
  </r>
  <r>
    <x v="0"/>
    <n v="1"/>
    <s v="Jotain pientä"/>
    <s v="Kyllä"/>
    <s v="01023"/>
    <s v="@"/>
    <s v="Vaasa"/>
    <s v="suomi"/>
    <n v="180"/>
  </r>
  <r>
    <x v="0"/>
    <n v="1"/>
    <s v="Jotain pientä"/>
    <s v="Kyllä"/>
    <s v="01023"/>
    <s v="@"/>
    <s v="Vaasa"/>
    <s v="suomi"/>
    <n v="180"/>
  </r>
  <r>
    <x v="0"/>
    <n v="1"/>
    <s v="Jotain pientä"/>
    <s v="Kyllä"/>
    <s v="01023"/>
    <s v="@"/>
    <s v="Vaasa"/>
    <s v="suomi"/>
    <n v="180"/>
  </r>
  <r>
    <x v="0"/>
    <n v="1"/>
    <s v="Jotain pientä"/>
    <s v="Kyllä"/>
    <s v="01023"/>
    <s v="@"/>
    <s v="Vaasa"/>
    <s v="suomi"/>
    <n v="180"/>
  </r>
  <r>
    <x v="0"/>
    <n v="1"/>
    <s v="Jotain pientä"/>
    <s v="Kyllä"/>
    <s v="01023"/>
    <s v="@"/>
    <s v="Vaasa"/>
    <s v="suomi"/>
    <n v="180"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  <r>
    <x v="1"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3"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1"/>
    <n v="1"/>
    <s v="Ammattilainen"/>
    <s v="Kyllä"/>
    <s v="00000"/>
    <s v="@"/>
    <s v="Vaasa"/>
    <s v="suomi"/>
    <n v="40"/>
  </r>
  <r>
    <x v="1"/>
    <n v="1"/>
    <s v="Ammattilainen"/>
    <s v="Kyllä"/>
    <s v="00000"/>
    <s v="@"/>
    <s v="Vaasa"/>
    <s v="suomi"/>
    <n v="40"/>
  </r>
  <r>
    <x v="1"/>
    <n v="1"/>
    <s v="Ammattilainen"/>
    <s v="Kyllä"/>
    <s v="00000"/>
    <s v="@"/>
    <s v="Vaasa"/>
    <s v="suomi"/>
    <n v="40"/>
  </r>
  <r>
    <x v="1"/>
    <n v="1"/>
    <s v="Ammattilainen"/>
    <s v="Kyllä"/>
    <s v="00000"/>
    <s v="@"/>
    <s v="Vaasa"/>
    <s v="suomi"/>
    <n v="40"/>
  </r>
  <r>
    <x v="1"/>
    <n v="1"/>
    <s v="Ammattilainen"/>
    <s v="Kyllä"/>
    <s v="00000"/>
    <s v="@"/>
    <s v="Vaasa"/>
    <s v="suomi"/>
    <n v="40"/>
  </r>
  <r>
    <x v="1"/>
    <n v="1"/>
    <s v="Ammattilainen"/>
    <s v="Kyllä"/>
    <s v="00000"/>
    <s v="@"/>
    <s v="Vaasa"/>
    <s v="suomi"/>
    <n v="40"/>
  </r>
  <r>
    <x v="1"/>
    <n v="1"/>
    <s v="Ammattilainen"/>
    <s v="Kyllä"/>
    <s v="00000"/>
    <s v="@"/>
    <s v="Vaasa"/>
    <s v="suomi"/>
    <n v="40"/>
  </r>
  <r>
    <x v="1"/>
    <n v="1"/>
    <s v="Ammattilainen"/>
    <s v="Kyllä"/>
    <s v="00000"/>
    <s v="@"/>
    <s v="Vaasa"/>
    <s v="suomi"/>
    <n v="40"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3"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1"/>
    <n v="1"/>
    <s v="Ei yhtään"/>
    <s v="Ei"/>
    <s v="044"/>
    <s v="@pavel"/>
    <s v="Salo"/>
    <s v="ruotsi"/>
    <n v="180"/>
  </r>
  <r>
    <x v="1"/>
    <n v="1"/>
    <s v="Ei yhtään"/>
    <s v="Ei"/>
    <s v="044"/>
    <s v="@pavel"/>
    <s v="Salo"/>
    <s v="ruotsi"/>
    <n v="180"/>
  </r>
  <r>
    <x v="1"/>
    <n v="1"/>
    <s v="Ei yhtään"/>
    <s v="Ei"/>
    <s v="044"/>
    <s v="@pavel"/>
    <s v="Salo"/>
    <s v="ruotsi"/>
    <n v="180"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2"/>
    <n v="1"/>
    <s v="p"/>
    <s v="Kyllä"/>
    <s v="p"/>
    <s v="p"/>
    <m/>
    <m/>
    <n v="40"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3"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1"/>
    <n v="1"/>
    <s v="Joo"/>
    <s v="Ei"/>
    <s v="001"/>
    <s v="@"/>
    <s v="Kokkola"/>
    <s v="ruotsi"/>
    <n v="500"/>
  </r>
  <r>
    <x v="1"/>
    <n v="1"/>
    <s v="Joo"/>
    <s v="Ei"/>
    <s v="001"/>
    <s v="@"/>
    <s v="Kokkola"/>
    <s v="ruotsi"/>
    <n v="500"/>
  </r>
  <r>
    <x v="1"/>
    <n v="1"/>
    <s v="Joo"/>
    <s v="Ei"/>
    <s v="001"/>
    <s v="@"/>
    <s v="Kokkola"/>
    <s v="ruotsi"/>
    <n v="500"/>
  </r>
  <r>
    <x v="0"/>
    <m/>
    <m/>
    <m/>
    <m/>
    <m/>
    <m/>
    <m/>
    <m/>
  </r>
  <r>
    <x v="1"/>
    <n v="1"/>
    <s v="Joo"/>
    <s v="Ei"/>
    <s v="001"/>
    <s v="@"/>
    <s v="Kokkola"/>
    <s v="ruotsi"/>
    <n v="500"/>
  </r>
  <r>
    <x v="1"/>
    <n v="1"/>
    <s v="Joo"/>
    <s v="Ei"/>
    <s v="001"/>
    <s v="@"/>
    <s v="Kokkola"/>
    <s v="ruotsi"/>
    <n v="500"/>
  </r>
  <r>
    <x v="1"/>
    <n v="1"/>
    <s v="Joo"/>
    <s v="Ei"/>
    <s v="001"/>
    <s v="@"/>
    <s v="Kokkola"/>
    <s v="ruotsi"/>
    <n v="500"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2"/>
    <n v="1"/>
    <s v="p"/>
    <s v="Kyllä"/>
    <s v="1"/>
    <s v="p"/>
    <s v="p"/>
    <s v="p"/>
    <n v="80"/>
  </r>
  <r>
    <x v="2"/>
    <n v="1"/>
    <s v="p"/>
    <s v="Kyllä"/>
    <s v="1"/>
    <s v="p"/>
    <s v="Vaasa, Palosaari"/>
    <s v="p"/>
    <n v="80"/>
  </r>
  <r>
    <x v="2"/>
    <n v="1"/>
    <s v="p"/>
    <s v="Kyllä"/>
    <s v="1"/>
    <s v="p"/>
    <s v="p"/>
    <s v="p"/>
    <n v="80"/>
  </r>
  <r>
    <x v="2"/>
    <n v="1"/>
    <s v="p"/>
    <s v="Kyllä"/>
    <s v="1"/>
    <s v="p"/>
    <s v="p"/>
    <s v="p"/>
    <n v="80"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FF0FAB-D654-4583-8E9D-B45EE7495083}" name="Vesijetin 1 kokonaistuotto" cacheId="19" applyNumberFormats="0" applyBorderFormats="0" applyFontFormats="0" applyPatternFormats="0" applyAlignmentFormats="0" applyWidthHeightFormats="1" dataCaption="Values" updatedVersion="7" minRefreshableVersion="3" itemPrintTitles="1" createdVersion="7" indent="0" outline="1" outlineData="1" multipleFieldFilters="0">
  <location ref="M53:N56" firstHeaderRow="1" firstDataRow="1" firstDataCol="1"/>
  <pivotFields count="9">
    <pivotField axis="axisRow" showAll="0">
      <items count="7">
        <item m="1" x="2"/>
        <item m="1" x="3"/>
        <item m="1" x="5"/>
        <item m="1" x="4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3">
    <i>
      <x v="4"/>
    </i>
    <i>
      <x v="5"/>
    </i>
    <i t="grand">
      <x/>
    </i>
  </rowItems>
  <colItems count="1">
    <i/>
  </colItems>
  <dataFields count="1">
    <dataField name="Sum of Hinta" fld="8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AD1E36-31F0-4F90-9F47-92405C19BAE2}" name="PivotTable3" cacheId="28" applyNumberFormats="0" applyBorderFormats="0" applyFontFormats="0" applyPatternFormats="0" applyAlignmentFormats="0" applyWidthHeightFormats="1" dataCaption="Values" updatedVersion="7" minRefreshableVersion="3" itemPrintTitles="1" createdVersion="7" indent="0" outline="1" outlineData="1" multipleFieldFilters="0">
  <location ref="M53:N57" firstHeaderRow="1" firstDataRow="1" firstDataCol="1"/>
  <pivotFields count="9">
    <pivotField axis="axisRow" showAll="0">
      <items count="8">
        <item m="1" x="4"/>
        <item m="1" x="3"/>
        <item m="1" x="5"/>
        <item m="1" x="6"/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4">
    <i>
      <x v="4"/>
    </i>
    <i>
      <x v="5"/>
    </i>
    <i>
      <x v="6"/>
    </i>
    <i t="grand">
      <x/>
    </i>
  </rowItems>
  <colItems count="1">
    <i/>
  </colItems>
  <dataFields count="1">
    <dataField name="Sum of Hinta" fld="8" baseField="0" baseItem="1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7E2DCA-529A-4666-8A15-BE8C9CA78805}" name="PivotTable4" cacheId="17" applyNumberFormats="0" applyBorderFormats="0" applyFontFormats="0" applyPatternFormats="0" applyAlignmentFormats="0" applyWidthHeightFormats="1" dataCaption="Values" updatedVersion="7" minRefreshableVersion="3" itemPrintTitles="1" createdVersion="7" indent="0" outline="1" outlineData="1" multipleFieldFilters="0">
  <location ref="M53:N56" firstHeaderRow="1" firstDataRow="1" firstDataCol="1"/>
  <pivotFields count="9">
    <pivotField axis="axisRow" showAll="0">
      <items count="4">
        <item m="1"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3">
    <i>
      <x v="1"/>
    </i>
    <i>
      <x v="2"/>
    </i>
    <i t="grand">
      <x/>
    </i>
  </rowItems>
  <colItems count="1">
    <i/>
  </colItems>
  <dataFields count="1">
    <dataField name="Sum of Hinta" fld="8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039536-C879-4C2C-B387-2DA596DA5F4A}" name="PivotTable5" cacheId="25" applyNumberFormats="0" applyBorderFormats="0" applyFontFormats="0" applyPatternFormats="0" applyAlignmentFormats="0" applyWidthHeightFormats="1" dataCaption="Values" updatedVersion="7" minRefreshableVersion="3" itemPrintTitles="1" createdVersion="7" indent="0" outline="1" outlineData="1" multipleFieldFilters="0">
  <location ref="M53:N57" firstHeaderRow="1" firstDataRow="1" firstDataCol="1"/>
  <pivotFields count="9">
    <pivotField axis="axisRow" showAll="0">
      <items count="5">
        <item m="1" x="3"/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Hinta" fld="8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093833E-C715-4875-89D0-E2F9E8A573CE}" name="Jetlyfetaulukko" displayName="Jetlyfetaulukko" ref="C3:K156" totalsRowShown="0" dataDxfId="69" headerRowBorderDxfId="70" tableBorderDxfId="68" totalsRowBorderDxfId="67">
  <tableColumns count="9">
    <tableColumn id="1" xr3:uid="{B079ECC3-09E2-4ED6-A285-1F279CCB1F86}" name="Nimi" dataDxfId="66"/>
    <tableColumn id="2" xr3:uid="{67A02D10-5885-4280-8173-0E8CDF00CBC8}" name="Luku Kalenteria varten" dataDxfId="65"/>
    <tableColumn id="3" xr3:uid="{DC55C95F-ACD9-4870-9224-2F37548507F7}" name="Aikaisempi kokemus (vapaa sana)" dataDxfId="64"/>
    <tableColumn id="4" xr3:uid="{C51ABCFD-994C-460B-8BCD-2288FE7C3557}" name="Opiskelija?" dataDxfId="63"/>
    <tableColumn id="5" xr3:uid="{390C2874-02D2-4418-8528-0C4E74D8EC2E}" name="Puhelinnumero" dataDxfId="62"/>
    <tableColumn id="6" xr3:uid="{A1D97EA1-AFFD-4DC3-B0A1-B8F4FAC5DDE0}" name="Sähköposti" dataDxfId="61"/>
    <tableColumn id="7" xr3:uid="{7A0FA744-C397-4BC4-82A8-E1C52520D145}" name="Osoite" dataDxfId="60"/>
    <tableColumn id="8" xr3:uid="{C7114D27-6722-401A-825F-842C14B2E206}" name="Kieli" dataDxfId="59"/>
    <tableColumn id="9" xr3:uid="{88AAEE8B-61C9-4D8A-992D-E2EBE2DAF226}" name="Hinta" dataDxfId="5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FA6FF0-B5ED-4DF8-835E-775E5C8FE752}" name="Jetlyfetaulukko3" displayName="Jetlyfetaulukko3" ref="C3:K156" totalsRowShown="0" headerRowDxfId="57" dataDxfId="55" headerRowBorderDxfId="56" tableBorderDxfId="54" totalsRowBorderDxfId="53">
  <tableColumns count="9">
    <tableColumn id="1" xr3:uid="{22F95EBD-CB63-442E-A9BE-917F17D0BB1D}" name="Nimi" dataDxfId="52"/>
    <tableColumn id="2" xr3:uid="{10EAE6C6-2FAC-4D99-8408-18AEE0CA314F}" name="Luku Kalenteria varten" dataDxfId="51"/>
    <tableColumn id="3" xr3:uid="{C24B40FA-EE52-4A1C-8002-C310A21A3CC4}" name="Aikaisempi kokemus (vapaa sana)" dataDxfId="50"/>
    <tableColumn id="4" xr3:uid="{FA3DCCD2-9061-475F-AC91-258250704F1E}" name="Opiskelija?" dataDxfId="49"/>
    <tableColumn id="5" xr3:uid="{F9547956-C610-4B18-B4CE-258D8AF97542}" name="Puhelinnumero" dataDxfId="48"/>
    <tableColumn id="6" xr3:uid="{6527F639-825D-4E29-9CF1-B152E21D9CBE}" name="Sähköposti" dataDxfId="47"/>
    <tableColumn id="7" xr3:uid="{02869642-3FE7-49A2-BC36-2C08C8C5706B}" name="Osoite" dataDxfId="46"/>
    <tableColumn id="8" xr3:uid="{DD686FCC-91B1-4EA4-836F-8831B198CEFB}" name="Kieli" dataDxfId="45"/>
    <tableColumn id="9" xr3:uid="{79A60BDC-7E90-41AC-B64B-AB15D18C8BA7}" name="Hinta" dataDxfId="4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1BC1A1-9B10-4BDF-BE86-CFB5BA625AED}" name="Jetlyfetaulukko4" displayName="Jetlyfetaulukko4" ref="C3:K156" totalsRowShown="0" headerRowDxfId="43" dataDxfId="41" headerRowBorderDxfId="42" tableBorderDxfId="40" totalsRowBorderDxfId="39">
  <tableColumns count="9">
    <tableColumn id="1" xr3:uid="{E145E350-164A-4DEF-BB0B-ACD7A00BA2E9}" name="Nimi" dataDxfId="38"/>
    <tableColumn id="2" xr3:uid="{B9862036-90FA-41ED-87FF-70DF777FCDB2}" name="Luku Kalenteria varten" dataDxfId="37"/>
    <tableColumn id="3" xr3:uid="{40812447-FD8D-4DD7-9DB4-D2C74DCBB529}" name="Aikaisempi kokemus (vapaa sana)" dataDxfId="36"/>
    <tableColumn id="4" xr3:uid="{FD56D425-B8D7-4FD3-A3C6-044480DF04B7}" name="Opiskelija?" dataDxfId="35"/>
    <tableColumn id="5" xr3:uid="{15165591-EDD8-4C9C-9461-5C6A62F198C2}" name="Puhelinnumero" dataDxfId="34"/>
    <tableColumn id="6" xr3:uid="{823C494C-3476-4086-A0D0-E2B504B56A8C}" name="Sähköposti" dataDxfId="33"/>
    <tableColumn id="7" xr3:uid="{0DC059A6-FC19-4345-B1AD-ED30B584B1EF}" name="Osoite" dataDxfId="32"/>
    <tableColumn id="8" xr3:uid="{1214514B-1957-4EA0-AD7B-F8D2F71AEC6B}" name="Kieli" dataDxfId="31"/>
    <tableColumn id="9" xr3:uid="{97FF5C44-A3EF-4FFD-B40E-549DC3430A94}" name="Hinta" dataDxfId="3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5253041-5DC8-4EC8-93A0-6D41775EB3EB}" name="Jetlyfetaulukko5" displayName="Jetlyfetaulukko5" ref="C3:K156" totalsRowShown="0" headerRowDxfId="29" dataDxfId="27" headerRowBorderDxfId="28" tableBorderDxfId="26" totalsRowBorderDxfId="25">
  <tableColumns count="9">
    <tableColumn id="1" xr3:uid="{663D9B1F-145A-4805-8396-DAA3E1C5423B}" name="Nimi" dataDxfId="24"/>
    <tableColumn id="2" xr3:uid="{BCA43051-18A3-4975-8F56-3BAE9EF44A8B}" name="Luku Kalenteria varten" dataDxfId="23"/>
    <tableColumn id="3" xr3:uid="{4C4277C1-02CF-412C-8445-AB3FF27E19C0}" name="Aikaisempi kokemus (vapaa sana)" dataDxfId="22"/>
    <tableColumn id="4" xr3:uid="{72EF50B3-6C6F-4598-91BB-DC90EDE4CC90}" name="Opiskelija?" dataDxfId="21"/>
    <tableColumn id="5" xr3:uid="{FD7C54CC-3368-4402-ACBC-D3DEF11D9F29}" name="Puhelinnumero" dataDxfId="20"/>
    <tableColumn id="6" xr3:uid="{A0A2EAB6-AE72-4423-BC28-7FFEAF5850E3}" name="Sähköposti" dataDxfId="19"/>
    <tableColumn id="7" xr3:uid="{579CED77-9D89-4A82-99CC-32A4C621DE14}" name="Osoite" dataDxfId="18"/>
    <tableColumn id="8" xr3:uid="{87A21747-E478-447A-BA06-0465D8D70033}" name="Kieli" dataDxfId="17"/>
    <tableColumn id="9" xr3:uid="{FE603D7D-3498-4BAB-81E9-FFD476EE08D7}" name="Hinta" dataDxfId="1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2729A25-0B67-4F3B-B9E1-AE1AAE078AB9}" name="Table9" displayName="Table9" ref="B2:C33" totalsRowShown="0" headerRowDxfId="15">
  <autoFilter ref="B2:C33" xr:uid="{22729A25-0B67-4F3B-B9E1-AE1AAE078AB9}"/>
  <tableColumns count="2">
    <tableColumn id="1" xr3:uid="{D2206B71-065C-444B-8086-98FD6D6D2EB5}" name="Toukokuu" dataDxfId="14"/>
    <tableColumn id="2" xr3:uid="{7BD42D48-F533-4BB8-B1FA-BDA15F2EF71C}" name="Varaustilanne" dataDxfId="13">
      <calculatedColumnFormula array="1">_xlfn.IFS('A1'!D4+'A2'!D4+'A3'!D4+'A4'!D4=0,"Vapaa",'A1'!D4+'A2'!D4+'A3'!D4+'A4'!D4=1,"3 vapaana",'A1'!D4+'A2'!D4+'A3'!D4+'A4'!D4=2,"2 vapaana",'A1'!D4+'A2'!D4+'A3'!D4+'A4'!D4=3,"1 vapaana",'A1'!D4+'A2'!D4+'A3'!D4+'A4'!D4=4,"Varattu")</calculatedColumnFormula>
    </tableColumn>
  </tableColumns>
  <tableStyleInfo name="TableStyleLight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10E39F0-827F-4FA8-84D1-4B0C71C25253}" name="Table10" displayName="Table10" ref="E2:F32" totalsRowShown="0" headerRowDxfId="12">
  <autoFilter ref="E2:F32" xr:uid="{D10E39F0-827F-4FA8-84D1-4B0C71C25253}"/>
  <tableColumns count="2">
    <tableColumn id="1" xr3:uid="{615991DE-47A1-422A-A410-72CCC3B604A1}" name="Kesäkuu" dataDxfId="11"/>
    <tableColumn id="2" xr3:uid="{711743EF-8329-42F4-8774-F7B0175BA69D}" name="Varaustilanne" dataDxfId="10">
      <calculatedColumnFormula array="1">_xlfn.IFS('A1'!D35+'A2'!D35+'A3'!D35+'A4'!D35=0,"Vapaa",'A1'!D35+'A2'!D35+'A3'!D35+'A4'!D35=1,"3 vapaana",'A1'!D35+'A2'!D35+'A3'!D35+'A4'!D35=2,"2 vapaana",'A1'!D35+'A2'!D35+'A3'!D35+'A4'!D35=3,"1 vapaana",'A1'!D35+'A2'!D35+'A3'!D35+'A4'!D35=4,"Varattu")</calculatedColumnFormula>
    </tableColumn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7D50673-B557-4C00-8A41-C3234F6067A1}" name="Table11" displayName="Table11" ref="H2:I33" totalsRowShown="0" headerRowDxfId="9">
  <autoFilter ref="H2:I33" xr:uid="{E7D50673-B557-4C00-8A41-C3234F6067A1}"/>
  <tableColumns count="2">
    <tableColumn id="1" xr3:uid="{22D51FC2-E31F-4582-B070-2D677433D88B}" name="Heinäkuu " dataDxfId="8"/>
    <tableColumn id="2" xr3:uid="{2C303497-6C06-4885-BBD3-95BFE7343DCB}" name="Varaustilanne" dataDxfId="7">
      <calculatedColumnFormula array="1">_xlfn.IFS('A1'!D65+'A2'!D65+'A3'!D65+'A4'!D65=0,"Vapaa",'A1'!D65+'A2'!D65+'A3'!D65+'A4'!D65=1,"3 vapaana",'A1'!D65+'A2'!D65+'A3'!D65+'A4'!D65=2,"2 vapaana",'A1'!D65+'A2'!D65+'A3'!D65+'A4'!D65=3,"1 vapaana",'A1'!D65+'A2'!D65+'A3'!D65+'A4'!D65=4,"Varattu")</calculatedColumnFormula>
    </tableColumn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51B5FD2-C18C-487E-B5C1-99B4EF1C9A9A}" name="Table12" displayName="Table12" ref="K2:L33" totalsRowShown="0" headerRowDxfId="6">
  <autoFilter ref="K2:L33" xr:uid="{B51B5FD2-C18C-487E-B5C1-99B4EF1C9A9A}"/>
  <tableColumns count="2">
    <tableColumn id="1" xr3:uid="{9E599397-A262-44CC-8370-D71FE161EA12}" name="Elokuu" dataDxfId="5"/>
    <tableColumn id="2" xr3:uid="{671C9249-08CF-45E0-80EB-DFEA2B2A5048}" name="Varaustilanne" dataDxfId="4">
      <calculatedColumnFormula array="1">_xlfn.IFS('A1'!D96+'A2'!D96+'A3'!D96+'A4'!D96=0,"Vapaa",'A1'!D96+'A2'!D96+'A3'!D96+'A4'!D96=1,"3 vapaana",'A1'!D96+'A2'!D96+'A3'!D96+'A4'!D96=2,"2 vapaana",'A1'!D96+'A2'!D96+'A3'!D96+'A4'!D96=3,"1 vapaana",'A1'!D96+'A2'!D96+'A3'!D96+'A4'!D96=4,"Varattu")</calculatedColumnFormula>
    </tableColumn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9B9D040-42B5-4D58-B48D-B51252DACBC3}" name="Table13" displayName="Table13" ref="N2:O32" totalsRowShown="0" headerRowDxfId="3" tableBorderDxfId="2">
  <autoFilter ref="N2:O32" xr:uid="{99B9D040-42B5-4D58-B48D-B51252DACBC3}"/>
  <tableColumns count="2">
    <tableColumn id="1" xr3:uid="{B93491ED-4D67-43DC-9531-33EE909AF531}" name="Syyskuu" dataDxfId="1"/>
    <tableColumn id="2" xr3:uid="{2A728366-A643-4C09-93B8-7622BB271A51}" name="Varaustilanne" dataDxfId="0">
      <calculatedColumnFormula array="1">_xlfn.IFS('A1'!D127+'A2'!D127+'A3'!D127+'A4'!D127=0,"Vapaa",'A1'!D127+'A2'!D127+'A3'!D127+'A4'!D127=1,"3 vapaana",'A1'!D127+'A2'!D127+'A3'!D127+'A4'!D127=2,"2 vapaana",'A1'!D127+'A2'!D127+'A3'!D127+'A4'!D127=3,"1 vapaana",'A1'!D127+'A2'!D127+'A3'!D127+'A4'!D127=4,"Varattu")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26" Type="http://schemas.openxmlformats.org/officeDocument/2006/relationships/ctrlProp" Target="../ctrlProps/ctrlProp22.xml"/><Relationship Id="rId3" Type="http://schemas.openxmlformats.org/officeDocument/2006/relationships/drawing" Target="../drawings/drawing1.xml"/><Relationship Id="rId21" Type="http://schemas.openxmlformats.org/officeDocument/2006/relationships/ctrlProp" Target="../ctrlProps/ctrlProp17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2" Type="http://schemas.openxmlformats.org/officeDocument/2006/relationships/printerSettings" Target="../printerSettings/printerSettings1.bin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13" Type="http://schemas.openxmlformats.org/officeDocument/2006/relationships/ctrlProp" Target="../ctrlProps/ctrlProp32.xml"/><Relationship Id="rId18" Type="http://schemas.openxmlformats.org/officeDocument/2006/relationships/ctrlProp" Target="../ctrlProps/ctrlProp37.xml"/><Relationship Id="rId26" Type="http://schemas.openxmlformats.org/officeDocument/2006/relationships/table" Target="../tables/table2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0.xml"/><Relationship Id="rId7" Type="http://schemas.openxmlformats.org/officeDocument/2006/relationships/ctrlProp" Target="../ctrlProps/ctrlProp26.xml"/><Relationship Id="rId12" Type="http://schemas.openxmlformats.org/officeDocument/2006/relationships/ctrlProp" Target="../ctrlProps/ctrlProp31.xml"/><Relationship Id="rId17" Type="http://schemas.openxmlformats.org/officeDocument/2006/relationships/ctrlProp" Target="../ctrlProps/ctrlProp36.xml"/><Relationship Id="rId25" Type="http://schemas.openxmlformats.org/officeDocument/2006/relationships/ctrlProp" Target="../ctrlProps/ctrlProp4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5.xml"/><Relationship Id="rId20" Type="http://schemas.openxmlformats.org/officeDocument/2006/relationships/ctrlProp" Target="../ctrlProps/ctrlProp39.xml"/><Relationship Id="rId1" Type="http://schemas.openxmlformats.org/officeDocument/2006/relationships/pivotTable" Target="../pivotTables/pivotTable2.xml"/><Relationship Id="rId6" Type="http://schemas.openxmlformats.org/officeDocument/2006/relationships/ctrlProp" Target="../ctrlProps/ctrlProp25.xml"/><Relationship Id="rId11" Type="http://schemas.openxmlformats.org/officeDocument/2006/relationships/ctrlProp" Target="../ctrlProps/ctrlProp30.xml"/><Relationship Id="rId24" Type="http://schemas.openxmlformats.org/officeDocument/2006/relationships/ctrlProp" Target="../ctrlProps/ctrlProp43.xml"/><Relationship Id="rId5" Type="http://schemas.openxmlformats.org/officeDocument/2006/relationships/ctrlProp" Target="../ctrlProps/ctrlProp24.xml"/><Relationship Id="rId15" Type="http://schemas.openxmlformats.org/officeDocument/2006/relationships/ctrlProp" Target="../ctrlProps/ctrlProp34.xml"/><Relationship Id="rId23" Type="http://schemas.openxmlformats.org/officeDocument/2006/relationships/ctrlProp" Target="../ctrlProps/ctrlProp42.xml"/><Relationship Id="rId10" Type="http://schemas.openxmlformats.org/officeDocument/2006/relationships/ctrlProp" Target="../ctrlProps/ctrlProp29.xml"/><Relationship Id="rId19" Type="http://schemas.openxmlformats.org/officeDocument/2006/relationships/ctrlProp" Target="../ctrlProps/ctrlProp38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Relationship Id="rId14" Type="http://schemas.openxmlformats.org/officeDocument/2006/relationships/ctrlProp" Target="../ctrlProps/ctrlProp33.xml"/><Relationship Id="rId22" Type="http://schemas.openxmlformats.org/officeDocument/2006/relationships/ctrlProp" Target="../ctrlProps/ctrlProp4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13" Type="http://schemas.openxmlformats.org/officeDocument/2006/relationships/ctrlProp" Target="../ctrlProps/ctrlProp54.xml"/><Relationship Id="rId18" Type="http://schemas.openxmlformats.org/officeDocument/2006/relationships/ctrlProp" Target="../ctrlProps/ctrlProp59.xml"/><Relationship Id="rId26" Type="http://schemas.openxmlformats.org/officeDocument/2006/relationships/table" Target="../tables/table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2.xml"/><Relationship Id="rId7" Type="http://schemas.openxmlformats.org/officeDocument/2006/relationships/ctrlProp" Target="../ctrlProps/ctrlProp48.xml"/><Relationship Id="rId12" Type="http://schemas.openxmlformats.org/officeDocument/2006/relationships/ctrlProp" Target="../ctrlProps/ctrlProp53.xml"/><Relationship Id="rId17" Type="http://schemas.openxmlformats.org/officeDocument/2006/relationships/ctrlProp" Target="../ctrlProps/ctrlProp58.xml"/><Relationship Id="rId25" Type="http://schemas.openxmlformats.org/officeDocument/2006/relationships/ctrlProp" Target="../ctrlProps/ctrlProp6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7.xml"/><Relationship Id="rId20" Type="http://schemas.openxmlformats.org/officeDocument/2006/relationships/ctrlProp" Target="../ctrlProps/ctrlProp61.xml"/><Relationship Id="rId1" Type="http://schemas.openxmlformats.org/officeDocument/2006/relationships/pivotTable" Target="../pivotTables/pivotTable3.xml"/><Relationship Id="rId6" Type="http://schemas.openxmlformats.org/officeDocument/2006/relationships/ctrlProp" Target="../ctrlProps/ctrlProp47.xml"/><Relationship Id="rId11" Type="http://schemas.openxmlformats.org/officeDocument/2006/relationships/ctrlProp" Target="../ctrlProps/ctrlProp52.xml"/><Relationship Id="rId24" Type="http://schemas.openxmlformats.org/officeDocument/2006/relationships/ctrlProp" Target="../ctrlProps/ctrlProp65.xml"/><Relationship Id="rId5" Type="http://schemas.openxmlformats.org/officeDocument/2006/relationships/ctrlProp" Target="../ctrlProps/ctrlProp46.xml"/><Relationship Id="rId15" Type="http://schemas.openxmlformats.org/officeDocument/2006/relationships/ctrlProp" Target="../ctrlProps/ctrlProp56.xml"/><Relationship Id="rId23" Type="http://schemas.openxmlformats.org/officeDocument/2006/relationships/ctrlProp" Target="../ctrlProps/ctrlProp64.xml"/><Relationship Id="rId10" Type="http://schemas.openxmlformats.org/officeDocument/2006/relationships/ctrlProp" Target="../ctrlProps/ctrlProp51.xml"/><Relationship Id="rId19" Type="http://schemas.openxmlformats.org/officeDocument/2006/relationships/ctrlProp" Target="../ctrlProps/ctrlProp60.xml"/><Relationship Id="rId4" Type="http://schemas.openxmlformats.org/officeDocument/2006/relationships/ctrlProp" Target="../ctrlProps/ctrlProp45.xml"/><Relationship Id="rId9" Type="http://schemas.openxmlformats.org/officeDocument/2006/relationships/ctrlProp" Target="../ctrlProps/ctrlProp50.xml"/><Relationship Id="rId14" Type="http://schemas.openxmlformats.org/officeDocument/2006/relationships/ctrlProp" Target="../ctrlProps/ctrlProp55.xml"/><Relationship Id="rId22" Type="http://schemas.openxmlformats.org/officeDocument/2006/relationships/ctrlProp" Target="../ctrlProps/ctrlProp6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13" Type="http://schemas.openxmlformats.org/officeDocument/2006/relationships/ctrlProp" Target="../ctrlProps/ctrlProp76.xml"/><Relationship Id="rId18" Type="http://schemas.openxmlformats.org/officeDocument/2006/relationships/ctrlProp" Target="../ctrlProps/ctrlProp81.xml"/><Relationship Id="rId26" Type="http://schemas.openxmlformats.org/officeDocument/2006/relationships/table" Target="../tables/table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84.xml"/><Relationship Id="rId7" Type="http://schemas.openxmlformats.org/officeDocument/2006/relationships/ctrlProp" Target="../ctrlProps/ctrlProp70.xml"/><Relationship Id="rId12" Type="http://schemas.openxmlformats.org/officeDocument/2006/relationships/ctrlProp" Target="../ctrlProps/ctrlProp75.xml"/><Relationship Id="rId17" Type="http://schemas.openxmlformats.org/officeDocument/2006/relationships/ctrlProp" Target="../ctrlProps/ctrlProp80.xml"/><Relationship Id="rId25" Type="http://schemas.openxmlformats.org/officeDocument/2006/relationships/ctrlProp" Target="../ctrlProps/ctrlProp88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79.xml"/><Relationship Id="rId20" Type="http://schemas.openxmlformats.org/officeDocument/2006/relationships/ctrlProp" Target="../ctrlProps/ctrlProp83.xml"/><Relationship Id="rId1" Type="http://schemas.openxmlformats.org/officeDocument/2006/relationships/pivotTable" Target="../pivotTables/pivotTable4.xml"/><Relationship Id="rId6" Type="http://schemas.openxmlformats.org/officeDocument/2006/relationships/ctrlProp" Target="../ctrlProps/ctrlProp69.xml"/><Relationship Id="rId11" Type="http://schemas.openxmlformats.org/officeDocument/2006/relationships/ctrlProp" Target="../ctrlProps/ctrlProp74.xml"/><Relationship Id="rId24" Type="http://schemas.openxmlformats.org/officeDocument/2006/relationships/ctrlProp" Target="../ctrlProps/ctrlProp87.xml"/><Relationship Id="rId5" Type="http://schemas.openxmlformats.org/officeDocument/2006/relationships/ctrlProp" Target="../ctrlProps/ctrlProp68.xml"/><Relationship Id="rId15" Type="http://schemas.openxmlformats.org/officeDocument/2006/relationships/ctrlProp" Target="../ctrlProps/ctrlProp78.xml"/><Relationship Id="rId23" Type="http://schemas.openxmlformats.org/officeDocument/2006/relationships/ctrlProp" Target="../ctrlProps/ctrlProp86.xml"/><Relationship Id="rId10" Type="http://schemas.openxmlformats.org/officeDocument/2006/relationships/ctrlProp" Target="../ctrlProps/ctrlProp73.xml"/><Relationship Id="rId19" Type="http://schemas.openxmlformats.org/officeDocument/2006/relationships/ctrlProp" Target="../ctrlProps/ctrlProp82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Relationship Id="rId14" Type="http://schemas.openxmlformats.org/officeDocument/2006/relationships/ctrlProp" Target="../ctrlProps/ctrlProp77.xml"/><Relationship Id="rId22" Type="http://schemas.openxmlformats.org/officeDocument/2006/relationships/ctrlProp" Target="../ctrlProps/ctrlProp8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8296A-C1CB-4B82-BA5C-3DBCF15F3C45}">
  <sheetPr codeName="Sheet1"/>
  <dimension ref="B1:AE259"/>
  <sheetViews>
    <sheetView topLeftCell="A40" workbookViewId="0">
      <selection activeCell="I30" sqref="I30"/>
    </sheetView>
  </sheetViews>
  <sheetFormatPr defaultRowHeight="15" x14ac:dyDescent="0.25"/>
  <cols>
    <col min="2" max="2" width="13" customWidth="1"/>
    <col min="3" max="3" width="24.28515625" style="7" customWidth="1"/>
    <col min="4" max="4" width="6" style="28" customWidth="1"/>
    <col min="5" max="5" width="35.85546875" style="17" customWidth="1"/>
    <col min="6" max="6" width="13.5703125" style="7" customWidth="1"/>
    <col min="7" max="7" width="17" style="7" customWidth="1"/>
    <col min="8" max="8" width="30.7109375" customWidth="1"/>
    <col min="9" max="9" width="32.140625" customWidth="1"/>
    <col min="10" max="10" width="10.7109375" customWidth="1"/>
    <col min="11" max="11" width="10.7109375" style="50" customWidth="1"/>
    <col min="12" max="12" width="5" customWidth="1"/>
    <col min="13" max="13" width="22.140625" customWidth="1"/>
    <col min="14" max="14" width="12.28515625" bestFit="1" customWidth="1"/>
    <col min="15" max="15" width="9.140625" customWidth="1"/>
    <col min="17" max="17" width="23.42578125" bestFit="1" customWidth="1"/>
    <col min="18" max="18" width="12.28515625" bestFit="1" customWidth="1"/>
    <col min="19" max="19" width="10.7109375" bestFit="1" customWidth="1"/>
    <col min="22" max="22" width="10.42578125" customWidth="1"/>
    <col min="23" max="23" width="20.5703125" customWidth="1"/>
    <col min="24" max="24" width="11.5703125" customWidth="1"/>
    <col min="25" max="25" width="12.5703125" customWidth="1"/>
  </cols>
  <sheetData>
    <row r="1" spans="2:31" ht="26.25" customHeight="1" x14ac:dyDescent="0.4">
      <c r="B1" s="12" t="s">
        <v>31</v>
      </c>
      <c r="C1"/>
      <c r="D1" s="1"/>
      <c r="M1" s="5"/>
      <c r="S1" s="3"/>
      <c r="V1" s="41">
        <v>4</v>
      </c>
      <c r="W1" s="42" t="s">
        <v>3</v>
      </c>
      <c r="X1" s="50">
        <v>40</v>
      </c>
    </row>
    <row r="2" spans="2:31" ht="15" customHeight="1" x14ac:dyDescent="0.25">
      <c r="C2"/>
      <c r="D2" s="1"/>
      <c r="M2" s="81" t="s">
        <v>0</v>
      </c>
      <c r="N2" s="82"/>
      <c r="O2" s="83"/>
      <c r="V2" s="43">
        <v>5</v>
      </c>
      <c r="W2" s="30" t="s">
        <v>19</v>
      </c>
      <c r="X2" s="50">
        <v>80</v>
      </c>
    </row>
    <row r="3" spans="2:31" x14ac:dyDescent="0.25">
      <c r="B3" s="13" t="s">
        <v>2</v>
      </c>
      <c r="C3" s="14" t="s">
        <v>3</v>
      </c>
      <c r="D3" s="48" t="s">
        <v>20</v>
      </c>
      <c r="E3" s="18" t="s">
        <v>4</v>
      </c>
      <c r="F3" s="15" t="s">
        <v>5</v>
      </c>
      <c r="G3" s="15" t="s">
        <v>6</v>
      </c>
      <c r="H3" s="16" t="s">
        <v>7</v>
      </c>
      <c r="I3" s="40" t="s">
        <v>17</v>
      </c>
      <c r="J3" s="40" t="s">
        <v>22</v>
      </c>
      <c r="K3" s="52" t="s">
        <v>23</v>
      </c>
      <c r="M3" s="84"/>
      <c r="N3" s="85"/>
      <c r="O3" s="86"/>
      <c r="V3" s="43">
        <v>1</v>
      </c>
      <c r="W3" s="44" t="s">
        <v>18</v>
      </c>
      <c r="X3" s="50">
        <v>120</v>
      </c>
    </row>
    <row r="4" spans="2:31" x14ac:dyDescent="0.25">
      <c r="B4" s="2">
        <v>44682</v>
      </c>
      <c r="C4" s="8"/>
      <c r="D4" s="21"/>
      <c r="E4" s="19"/>
      <c r="F4" s="8"/>
      <c r="G4" s="8"/>
      <c r="H4" s="33"/>
      <c r="I4" s="6"/>
      <c r="J4" s="6"/>
      <c r="K4" s="51"/>
      <c r="M4" s="84"/>
      <c r="N4" s="85"/>
      <c r="O4" s="86"/>
      <c r="V4" s="43">
        <v>8</v>
      </c>
      <c r="W4" s="44" t="s">
        <v>5</v>
      </c>
      <c r="X4" s="50">
        <v>180</v>
      </c>
    </row>
    <row r="5" spans="2:31" x14ac:dyDescent="0.25">
      <c r="B5" s="2">
        <v>44683</v>
      </c>
      <c r="C5" s="8"/>
      <c r="D5" s="21"/>
      <c r="E5" s="19"/>
      <c r="F5" s="8"/>
      <c r="G5" s="8"/>
      <c r="H5" s="33"/>
      <c r="I5" s="6"/>
      <c r="J5" s="6"/>
      <c r="K5" s="51"/>
      <c r="M5" s="87"/>
      <c r="N5" s="88"/>
      <c r="O5" s="89"/>
      <c r="V5" s="43">
        <v>32</v>
      </c>
      <c r="W5" s="44" t="s">
        <v>6</v>
      </c>
      <c r="X5" s="50">
        <v>220</v>
      </c>
    </row>
    <row r="6" spans="2:31" ht="15.75" thickBot="1" x14ac:dyDescent="0.3">
      <c r="B6" s="2">
        <v>44684</v>
      </c>
      <c r="C6" s="8"/>
      <c r="D6" s="21"/>
      <c r="E6" s="19"/>
      <c r="F6" s="8"/>
      <c r="G6" s="8"/>
      <c r="H6" s="33"/>
      <c r="I6" s="6"/>
      <c r="J6" s="6"/>
      <c r="K6" s="51"/>
      <c r="M6" s="75"/>
      <c r="N6" s="90"/>
      <c r="O6" s="76"/>
      <c r="V6" s="45">
        <v>7</v>
      </c>
      <c r="W6" s="44" t="s">
        <v>7</v>
      </c>
      <c r="X6" s="50">
        <v>500</v>
      </c>
    </row>
    <row r="7" spans="2:31" ht="15.75" thickBot="1" x14ac:dyDescent="0.3">
      <c r="B7" s="2">
        <v>44685</v>
      </c>
      <c r="C7" s="112" t="s">
        <v>57</v>
      </c>
      <c r="D7" s="113">
        <v>1</v>
      </c>
      <c r="E7" s="114" t="s">
        <v>58</v>
      </c>
      <c r="F7" s="112" t="s">
        <v>29</v>
      </c>
      <c r="G7" s="112" t="s">
        <v>56</v>
      </c>
      <c r="H7" s="115" t="s">
        <v>59</v>
      </c>
      <c r="I7" s="116" t="s">
        <v>60</v>
      </c>
      <c r="J7" s="116" t="s">
        <v>61</v>
      </c>
      <c r="K7" s="117">
        <v>40</v>
      </c>
      <c r="M7" s="79"/>
      <c r="N7" s="91"/>
      <c r="O7" s="80"/>
      <c r="V7" s="47"/>
      <c r="W7" s="46" t="s">
        <v>17</v>
      </c>
      <c r="X7" s="50">
        <v>900</v>
      </c>
    </row>
    <row r="8" spans="2:31" x14ac:dyDescent="0.25">
      <c r="B8" s="2">
        <v>44686</v>
      </c>
      <c r="C8" s="112" t="s">
        <v>57</v>
      </c>
      <c r="D8" s="113">
        <v>1</v>
      </c>
      <c r="E8" s="114" t="s">
        <v>58</v>
      </c>
      <c r="F8" s="112" t="s">
        <v>29</v>
      </c>
      <c r="G8" s="112" t="s">
        <v>56</v>
      </c>
      <c r="H8" s="115" t="s">
        <v>59</v>
      </c>
      <c r="I8" s="116" t="s">
        <v>60</v>
      </c>
      <c r="J8" s="116" t="s">
        <v>61</v>
      </c>
      <c r="K8" s="117">
        <v>40</v>
      </c>
      <c r="M8" s="75"/>
      <c r="N8" s="90"/>
      <c r="O8" s="76"/>
      <c r="V8" t="s">
        <v>8</v>
      </c>
      <c r="W8" s="49" t="s">
        <v>30</v>
      </c>
      <c r="X8">
        <v>1</v>
      </c>
    </row>
    <row r="9" spans="2:31" x14ac:dyDescent="0.25">
      <c r="B9" s="2">
        <v>44687</v>
      </c>
      <c r="C9" s="112" t="s">
        <v>57</v>
      </c>
      <c r="D9" s="113">
        <v>1</v>
      </c>
      <c r="E9" s="114" t="s">
        <v>58</v>
      </c>
      <c r="F9" s="112" t="s">
        <v>29</v>
      </c>
      <c r="G9" s="112" t="s">
        <v>56</v>
      </c>
      <c r="H9" s="115" t="s">
        <v>59</v>
      </c>
      <c r="I9" s="116" t="s">
        <v>60</v>
      </c>
      <c r="J9" s="116" t="s">
        <v>61</v>
      </c>
      <c r="K9" s="117">
        <v>40</v>
      </c>
      <c r="M9" s="79"/>
      <c r="N9" s="91"/>
      <c r="O9" s="80"/>
      <c r="W9" s="49" t="s">
        <v>23</v>
      </c>
      <c r="X9">
        <v>4</v>
      </c>
    </row>
    <row r="10" spans="2:31" x14ac:dyDescent="0.25">
      <c r="B10" s="2">
        <v>44688</v>
      </c>
      <c r="C10" s="112" t="s">
        <v>57</v>
      </c>
      <c r="D10" s="113">
        <v>1</v>
      </c>
      <c r="E10" s="114" t="s">
        <v>58</v>
      </c>
      <c r="F10" s="112" t="s">
        <v>29</v>
      </c>
      <c r="G10" s="112" t="s">
        <v>56</v>
      </c>
      <c r="H10" s="115" t="s">
        <v>59</v>
      </c>
      <c r="I10" s="116" t="s">
        <v>60</v>
      </c>
      <c r="J10" s="116" t="s">
        <v>61</v>
      </c>
      <c r="K10" s="117">
        <v>40</v>
      </c>
      <c r="M10" s="79"/>
      <c r="N10" s="91"/>
      <c r="O10" s="80"/>
      <c r="X10">
        <v>1</v>
      </c>
    </row>
    <row r="11" spans="2:31" x14ac:dyDescent="0.25">
      <c r="B11" s="2">
        <v>44689</v>
      </c>
      <c r="C11" s="112" t="s">
        <v>57</v>
      </c>
      <c r="D11" s="113">
        <v>1</v>
      </c>
      <c r="E11" s="114" t="s">
        <v>58</v>
      </c>
      <c r="F11" s="112" t="s">
        <v>29</v>
      </c>
      <c r="G11" s="112" t="s">
        <v>56</v>
      </c>
      <c r="H11" s="115" t="s">
        <v>59</v>
      </c>
      <c r="I11" s="116" t="s">
        <v>60</v>
      </c>
      <c r="J11" s="116" t="s">
        <v>61</v>
      </c>
      <c r="K11" s="117">
        <v>40</v>
      </c>
      <c r="M11" s="79"/>
      <c r="N11" s="91"/>
      <c r="O11" s="80"/>
      <c r="V11" s="59" t="s">
        <v>23</v>
      </c>
      <c r="W11" s="59" t="s">
        <v>23</v>
      </c>
      <c r="Y11" s="60" t="s">
        <v>5</v>
      </c>
      <c r="Z11" s="59" t="s">
        <v>23</v>
      </c>
      <c r="AA11" s="59" t="s">
        <v>23</v>
      </c>
      <c r="AC11" s="60" t="s">
        <v>5</v>
      </c>
      <c r="AD11" s="59" t="s">
        <v>23</v>
      </c>
      <c r="AE11" s="59" t="s">
        <v>23</v>
      </c>
    </row>
    <row r="12" spans="2:31" x14ac:dyDescent="0.25">
      <c r="B12" s="2">
        <v>44690</v>
      </c>
      <c r="C12" s="112" t="s">
        <v>57</v>
      </c>
      <c r="D12" s="113">
        <v>1</v>
      </c>
      <c r="E12" s="114" t="s">
        <v>58</v>
      </c>
      <c r="F12" s="112" t="s">
        <v>29</v>
      </c>
      <c r="G12" s="112" t="s">
        <v>56</v>
      </c>
      <c r="H12" s="115" t="s">
        <v>59</v>
      </c>
      <c r="I12" s="116" t="s">
        <v>60</v>
      </c>
      <c r="J12" s="116" t="s">
        <v>61</v>
      </c>
      <c r="K12" s="117">
        <v>40</v>
      </c>
      <c r="M12" s="79"/>
      <c r="N12" s="91"/>
      <c r="O12" s="80"/>
      <c r="V12" t="str" cm="1">
        <f t="array" ref="V12">_xlfn.IFS(X8=1,"&gt;=40",X8=2,"&gt;=80",X8=3,"&gt;=120",X8=4,"&gt;=180",X8=5,"&gt;=220",X8=6,"&gt;=500",X8=7,"&gt;=900")</f>
        <v>&gt;=40</v>
      </c>
      <c r="W12" t="str" cm="1">
        <f t="array" ref="W12">_xlfn.IFS(X9=1,"&lt;=40",X9=2,"&lt;=80",X9=3,"&lt;=120",X9=4,"&lt;=180",X9=5,"&lt;=220",X9=6,"&lt;=500",X9=7,"&lt;=900")</f>
        <v>&lt;=180</v>
      </c>
      <c r="Y12" t="s">
        <v>29</v>
      </c>
      <c r="Z12" t="str" cm="1">
        <f t="array" ref="Z12">_xlfn.IFS(X8=1,"&gt;=40",X8=2,"&gt;=80",X8=3,"&gt;=120",X8=4,"&gt;=180",X8=5,"&gt;=220",X8=6,"&gt;=500",X8=7,"&gt;=900")</f>
        <v>&gt;=40</v>
      </c>
      <c r="AA12" t="str" cm="1">
        <f t="array" ref="AA12">_xlfn.IFS(X9=1,"&lt;=40",X9=2,"&lt;=80",X9=3,"&lt;=120",X9=4,"&lt;=180",X9=5,"&lt;=220",X9=6,"&lt;=500",X9=7,"&lt;=900")</f>
        <v>&lt;=180</v>
      </c>
      <c r="AC12" t="s">
        <v>9</v>
      </c>
      <c r="AD12" t="str" cm="1">
        <f t="array" ref="AD12">_xlfn.IFS(X8=1,"&gt;=40",X8=2,"&gt;=80",X8=3,"&gt;=120",X8=4,"&gt;=180",X8=5,"&gt;=220",X8=6,"&gt;=500",X8=7,"&gt;=900")</f>
        <v>&gt;=40</v>
      </c>
      <c r="AE12" t="str" cm="1">
        <f t="array" ref="AE12">_xlfn.IFS(X9=1,"&lt;=40",X9=2,"&lt;=80",X9=3,"&lt;=120",X9=4,"&lt;=180",X9=5,"&lt;=220",X9=6,"&lt;=500",X9=7,"&lt;=900")</f>
        <v>&lt;=180</v>
      </c>
    </row>
    <row r="13" spans="2:31" x14ac:dyDescent="0.25">
      <c r="B13" s="2">
        <v>44691</v>
      </c>
      <c r="C13" s="112" t="s">
        <v>57</v>
      </c>
      <c r="D13" s="113">
        <v>1</v>
      </c>
      <c r="E13" s="114" t="s">
        <v>58</v>
      </c>
      <c r="F13" s="112" t="s">
        <v>29</v>
      </c>
      <c r="G13" s="112" t="s">
        <v>56</v>
      </c>
      <c r="H13" s="115" t="s">
        <v>59</v>
      </c>
      <c r="I13" s="116" t="s">
        <v>60</v>
      </c>
      <c r="J13" s="116" t="s">
        <v>61</v>
      </c>
      <c r="K13" s="117">
        <v>40</v>
      </c>
      <c r="M13" s="77"/>
      <c r="N13" s="92"/>
      <c r="O13" s="78"/>
    </row>
    <row r="14" spans="2:31" x14ac:dyDescent="0.25">
      <c r="B14" s="2">
        <v>44692</v>
      </c>
      <c r="C14" s="112" t="s">
        <v>57</v>
      </c>
      <c r="D14" s="113">
        <v>1</v>
      </c>
      <c r="E14" s="114" t="s">
        <v>58</v>
      </c>
      <c r="F14" s="112" t="s">
        <v>29</v>
      </c>
      <c r="G14" s="112" t="s">
        <v>56</v>
      </c>
      <c r="H14" s="115" t="s">
        <v>59</v>
      </c>
      <c r="I14" s="116" t="s">
        <v>60</v>
      </c>
      <c r="J14" s="116" t="s">
        <v>61</v>
      </c>
      <c r="K14" s="117">
        <v>40</v>
      </c>
    </row>
    <row r="15" spans="2:31" ht="15" customHeight="1" x14ac:dyDescent="0.25">
      <c r="B15" s="2">
        <v>44693</v>
      </c>
      <c r="C15" s="8"/>
      <c r="D15" s="21"/>
      <c r="E15" s="19"/>
      <c r="F15" s="8"/>
      <c r="G15" s="8"/>
      <c r="H15" s="34"/>
      <c r="I15" s="6"/>
      <c r="J15" s="6"/>
      <c r="K15" s="51"/>
      <c r="M15" s="93" t="s">
        <v>10</v>
      </c>
      <c r="N15" s="94"/>
      <c r="O15" s="95"/>
    </row>
    <row r="16" spans="2:31" ht="15" customHeight="1" x14ac:dyDescent="0.25">
      <c r="B16" s="2">
        <v>44694</v>
      </c>
      <c r="C16" s="8"/>
      <c r="D16" s="21"/>
      <c r="E16" s="19"/>
      <c r="F16" s="8"/>
      <c r="G16" s="8"/>
      <c r="H16" s="34"/>
      <c r="I16" s="6"/>
      <c r="J16" s="6"/>
      <c r="K16" s="51"/>
      <c r="M16" s="96"/>
      <c r="N16" s="97"/>
      <c r="O16" s="98"/>
    </row>
    <row r="17" spans="2:15" ht="15" customHeight="1" x14ac:dyDescent="0.25">
      <c r="B17" s="2">
        <v>44695</v>
      </c>
      <c r="C17" s="8"/>
      <c r="D17" s="21"/>
      <c r="E17" s="19"/>
      <c r="F17" s="8"/>
      <c r="G17" s="8"/>
      <c r="H17" s="34"/>
      <c r="I17" s="6"/>
      <c r="J17" s="6"/>
      <c r="K17" s="51"/>
      <c r="M17" s="96"/>
      <c r="N17" s="97"/>
      <c r="O17" s="98"/>
    </row>
    <row r="18" spans="2:15" ht="15" customHeight="1" x14ac:dyDescent="0.25">
      <c r="B18" s="2">
        <v>44696</v>
      </c>
      <c r="C18" s="8"/>
      <c r="D18" s="21"/>
      <c r="E18" s="19"/>
      <c r="F18" s="8"/>
      <c r="G18" s="8"/>
      <c r="H18" s="34"/>
      <c r="I18" s="6"/>
      <c r="J18" s="6"/>
      <c r="K18" s="51"/>
      <c r="M18" s="99"/>
      <c r="N18" s="100"/>
      <c r="O18" s="101"/>
    </row>
    <row r="19" spans="2:15" x14ac:dyDescent="0.25">
      <c r="B19" s="2">
        <v>44697</v>
      </c>
      <c r="C19" s="8"/>
      <c r="D19" s="21"/>
      <c r="E19" s="19"/>
      <c r="F19" s="8"/>
      <c r="G19" s="8"/>
      <c r="H19" s="34"/>
      <c r="I19" s="6"/>
      <c r="J19" s="6"/>
      <c r="K19" s="51"/>
      <c r="M19" s="75"/>
      <c r="N19" s="90"/>
      <c r="O19" s="76"/>
    </row>
    <row r="20" spans="2:15" x14ac:dyDescent="0.25">
      <c r="B20" s="2">
        <v>44698</v>
      </c>
      <c r="C20" s="8"/>
      <c r="D20" s="21"/>
      <c r="E20" s="19"/>
      <c r="F20" s="8"/>
      <c r="G20" s="8"/>
      <c r="H20" s="34"/>
      <c r="I20" s="6"/>
      <c r="J20" s="6"/>
      <c r="K20" s="51"/>
      <c r="M20" s="77"/>
      <c r="N20" s="92"/>
      <c r="O20" s="78"/>
    </row>
    <row r="21" spans="2:15" x14ac:dyDescent="0.25">
      <c r="B21" s="2">
        <v>44699</v>
      </c>
      <c r="C21" s="8"/>
      <c r="D21" s="21"/>
      <c r="E21" s="19"/>
      <c r="F21" s="8"/>
      <c r="G21" s="8"/>
      <c r="H21" s="34"/>
      <c r="I21" s="6"/>
      <c r="J21" s="6"/>
      <c r="K21" s="51"/>
    </row>
    <row r="22" spans="2:15" ht="15" customHeight="1" x14ac:dyDescent="0.25">
      <c r="B22" s="2">
        <v>44700</v>
      </c>
      <c r="C22" s="10"/>
      <c r="D22" s="4"/>
      <c r="E22" s="20"/>
      <c r="F22" s="9"/>
      <c r="G22" s="9"/>
      <c r="H22" s="11"/>
      <c r="I22" s="6"/>
      <c r="J22" s="6"/>
      <c r="K22" s="51"/>
      <c r="M22" s="102" t="s">
        <v>1</v>
      </c>
      <c r="N22" s="103"/>
      <c r="O22" s="104"/>
    </row>
    <row r="23" spans="2:15" x14ac:dyDescent="0.25">
      <c r="B23" s="2">
        <v>44701</v>
      </c>
      <c r="C23" s="10"/>
      <c r="D23" s="4"/>
      <c r="E23" s="20"/>
      <c r="F23" s="9"/>
      <c r="G23" s="9"/>
      <c r="H23" s="11"/>
      <c r="I23" s="6"/>
      <c r="J23" s="6"/>
      <c r="K23" s="51"/>
      <c r="M23" s="105"/>
      <c r="N23" s="106"/>
      <c r="O23" s="107"/>
    </row>
    <row r="24" spans="2:15" x14ac:dyDescent="0.25">
      <c r="B24" s="2">
        <v>44702</v>
      </c>
      <c r="C24" s="10"/>
      <c r="D24" s="4"/>
      <c r="E24" s="20"/>
      <c r="F24" s="9"/>
      <c r="G24" s="9"/>
      <c r="H24" s="11"/>
      <c r="I24" s="6"/>
      <c r="J24" s="6"/>
      <c r="K24" s="51"/>
      <c r="M24" s="105"/>
      <c r="N24" s="106"/>
      <c r="O24" s="107"/>
    </row>
    <row r="25" spans="2:15" x14ac:dyDescent="0.25">
      <c r="B25" s="2">
        <v>44703</v>
      </c>
      <c r="C25" s="10"/>
      <c r="D25" s="4"/>
      <c r="E25" s="20"/>
      <c r="F25" s="9"/>
      <c r="G25" s="9"/>
      <c r="H25" s="11"/>
      <c r="I25" s="6"/>
      <c r="J25" s="6"/>
      <c r="K25" s="51"/>
      <c r="M25" s="108"/>
      <c r="N25" s="109"/>
      <c r="O25" s="110"/>
    </row>
    <row r="26" spans="2:15" x14ac:dyDescent="0.25">
      <c r="B26" s="2">
        <v>44704</v>
      </c>
      <c r="C26" s="10"/>
      <c r="D26" s="4"/>
      <c r="E26" s="20"/>
      <c r="F26" s="9"/>
      <c r="G26" s="9"/>
      <c r="H26" s="11"/>
      <c r="I26" s="6"/>
      <c r="J26" s="6"/>
      <c r="K26" s="51"/>
      <c r="M26" s="75"/>
      <c r="N26" s="90"/>
      <c r="O26" s="76"/>
    </row>
    <row r="27" spans="2:15" x14ac:dyDescent="0.25">
      <c r="B27" s="2">
        <v>44705</v>
      </c>
      <c r="C27" s="10"/>
      <c r="D27" s="4"/>
      <c r="E27" s="20"/>
      <c r="F27" s="9"/>
      <c r="G27" s="9"/>
      <c r="H27" s="11"/>
      <c r="I27" s="6"/>
      <c r="J27" s="6"/>
      <c r="K27" s="51"/>
      <c r="M27" s="79"/>
      <c r="N27" s="91"/>
      <c r="O27" s="80"/>
    </row>
    <row r="28" spans="2:15" ht="15" customHeight="1" x14ac:dyDescent="0.25">
      <c r="B28" s="2">
        <v>44706</v>
      </c>
      <c r="C28" s="10"/>
      <c r="D28" s="4"/>
      <c r="E28" s="20"/>
      <c r="F28" s="9"/>
      <c r="G28" s="9"/>
      <c r="H28" s="11"/>
      <c r="I28" s="6"/>
      <c r="J28" s="6"/>
      <c r="K28" s="51"/>
      <c r="M28" s="25" t="s">
        <v>21</v>
      </c>
      <c r="N28" s="38">
        <v>1</v>
      </c>
      <c r="O28" s="29"/>
    </row>
    <row r="29" spans="2:15" x14ac:dyDescent="0.25">
      <c r="B29" s="2">
        <v>44707</v>
      </c>
      <c r="C29" s="10"/>
      <c r="D29" s="4"/>
      <c r="E29" s="20"/>
      <c r="F29" s="9"/>
      <c r="G29" s="9"/>
      <c r="H29" s="11"/>
      <c r="I29" s="6"/>
      <c r="J29" s="6"/>
      <c r="K29" s="51"/>
      <c r="M29" s="26"/>
      <c r="N29" s="36"/>
      <c r="O29" s="30"/>
    </row>
    <row r="30" spans="2:15" x14ac:dyDescent="0.25">
      <c r="B30" s="2">
        <v>44708</v>
      </c>
      <c r="C30" s="10"/>
      <c r="D30" s="4"/>
      <c r="E30" s="20"/>
      <c r="F30" s="9"/>
      <c r="G30" s="9"/>
      <c r="H30" s="11"/>
      <c r="I30" s="6"/>
      <c r="J30" s="6"/>
      <c r="K30" s="51"/>
      <c r="M30" s="27"/>
      <c r="N30" s="39"/>
      <c r="O30" s="31"/>
    </row>
    <row r="31" spans="2:15" x14ac:dyDescent="0.25">
      <c r="B31" s="2">
        <v>44709</v>
      </c>
      <c r="C31" s="10"/>
      <c r="D31" s="4"/>
      <c r="E31" s="20"/>
      <c r="F31" s="9"/>
      <c r="G31" s="9"/>
      <c r="H31" s="53"/>
      <c r="I31" s="6"/>
      <c r="J31" s="6"/>
      <c r="K31" s="51"/>
    </row>
    <row r="32" spans="2:15" ht="15" customHeight="1" x14ac:dyDescent="0.25">
      <c r="B32" s="2">
        <v>44710</v>
      </c>
      <c r="C32" s="10"/>
      <c r="D32" s="4"/>
      <c r="E32" s="20"/>
      <c r="F32" s="9"/>
      <c r="G32" s="9"/>
      <c r="H32" s="11"/>
      <c r="I32" s="6"/>
      <c r="J32" s="6"/>
      <c r="K32" s="51"/>
      <c r="M32" s="102" t="s">
        <v>24</v>
      </c>
      <c r="N32" s="103"/>
      <c r="O32" s="104"/>
    </row>
    <row r="33" spans="2:15" x14ac:dyDescent="0.25">
      <c r="B33" s="2">
        <v>44711</v>
      </c>
      <c r="C33" s="119" t="s">
        <v>53</v>
      </c>
      <c r="D33" s="120">
        <v>1</v>
      </c>
      <c r="E33" s="121" t="s">
        <v>53</v>
      </c>
      <c r="F33" s="122" t="s">
        <v>9</v>
      </c>
      <c r="G33" s="122" t="s">
        <v>54</v>
      </c>
      <c r="H33" s="123" t="s">
        <v>53</v>
      </c>
      <c r="I33" s="116" t="s">
        <v>38</v>
      </c>
      <c r="J33" s="116" t="s">
        <v>53</v>
      </c>
      <c r="K33" s="117">
        <v>180</v>
      </c>
      <c r="M33" s="105"/>
      <c r="N33" s="106"/>
      <c r="O33" s="107"/>
    </row>
    <row r="34" spans="2:15" x14ac:dyDescent="0.25">
      <c r="B34" s="2">
        <v>44712</v>
      </c>
      <c r="C34" s="10"/>
      <c r="D34" s="4"/>
      <c r="E34" s="20"/>
      <c r="F34" s="9"/>
      <c r="G34" s="9"/>
      <c r="H34" s="11"/>
      <c r="I34" s="6"/>
      <c r="J34" s="6"/>
      <c r="K34" s="51"/>
      <c r="M34" s="105"/>
      <c r="N34" s="106"/>
      <c r="O34" s="107"/>
    </row>
    <row r="35" spans="2:15" x14ac:dyDescent="0.25">
      <c r="B35" s="2">
        <v>44713</v>
      </c>
      <c r="C35" s="119" t="s">
        <v>53</v>
      </c>
      <c r="D35" s="120">
        <v>1</v>
      </c>
      <c r="E35" s="121" t="s">
        <v>53</v>
      </c>
      <c r="F35" s="122" t="s">
        <v>29</v>
      </c>
      <c r="G35" s="122" t="s">
        <v>56</v>
      </c>
      <c r="H35" s="123" t="s">
        <v>53</v>
      </c>
      <c r="I35" s="116" t="s">
        <v>38</v>
      </c>
      <c r="J35" s="116" t="s">
        <v>53</v>
      </c>
      <c r="K35" s="117">
        <v>500</v>
      </c>
      <c r="M35" s="108"/>
      <c r="N35" s="109"/>
      <c r="O35" s="110"/>
    </row>
    <row r="36" spans="2:15" x14ac:dyDescent="0.25">
      <c r="B36" s="2">
        <v>44714</v>
      </c>
      <c r="C36" s="10"/>
      <c r="D36" s="4"/>
      <c r="E36" s="20"/>
      <c r="F36" s="9"/>
      <c r="G36" s="9"/>
      <c r="H36" s="11"/>
      <c r="I36" s="6"/>
      <c r="J36" s="6"/>
      <c r="K36" s="51"/>
      <c r="M36" s="75"/>
      <c r="N36" s="90"/>
      <c r="O36" s="76"/>
    </row>
    <row r="37" spans="2:15" x14ac:dyDescent="0.25">
      <c r="B37" s="2">
        <v>44715</v>
      </c>
      <c r="C37" s="10"/>
      <c r="D37" s="4"/>
      <c r="E37" s="20"/>
      <c r="F37" s="9"/>
      <c r="G37" s="9"/>
      <c r="H37" s="11"/>
      <c r="I37" s="6"/>
      <c r="J37" s="6"/>
      <c r="K37" s="51"/>
      <c r="M37" s="77"/>
      <c r="N37" s="92"/>
      <c r="O37" s="78"/>
    </row>
    <row r="38" spans="2:15" x14ac:dyDescent="0.25">
      <c r="B38" s="2">
        <v>44716</v>
      </c>
      <c r="C38" s="10"/>
      <c r="D38" s="4"/>
      <c r="E38" s="20"/>
      <c r="F38" s="9"/>
      <c r="G38" s="9"/>
      <c r="H38" s="11"/>
      <c r="I38" s="6"/>
      <c r="J38" s="6"/>
      <c r="K38" s="51"/>
      <c r="M38" s="75"/>
      <c r="N38" s="90"/>
      <c r="O38" s="76"/>
    </row>
    <row r="39" spans="2:15" x14ac:dyDescent="0.25">
      <c r="B39" s="2">
        <v>44717</v>
      </c>
      <c r="C39" s="10"/>
      <c r="D39" s="4"/>
      <c r="E39" s="20"/>
      <c r="F39" s="9"/>
      <c r="G39" s="9"/>
      <c r="H39" s="11"/>
      <c r="I39" s="6"/>
      <c r="J39" s="6"/>
      <c r="K39" s="51"/>
      <c r="M39" s="77"/>
      <c r="N39" s="92"/>
      <c r="O39" s="78"/>
    </row>
    <row r="40" spans="2:15" x14ac:dyDescent="0.25">
      <c r="B40" s="2">
        <v>44718</v>
      </c>
      <c r="C40" s="10"/>
      <c r="D40" s="4"/>
      <c r="E40" s="20"/>
      <c r="F40" s="9"/>
      <c r="G40" s="9"/>
      <c r="H40" s="11"/>
      <c r="I40" s="6"/>
      <c r="J40" s="6"/>
      <c r="K40" s="51"/>
    </row>
    <row r="41" spans="2:15" ht="15" customHeight="1" x14ac:dyDescent="0.25">
      <c r="B41" s="2">
        <v>44719</v>
      </c>
      <c r="C41" s="10"/>
      <c r="D41" s="4"/>
      <c r="E41" s="20"/>
      <c r="F41" s="9"/>
      <c r="G41" s="9"/>
      <c r="H41" s="56"/>
      <c r="I41" s="6"/>
      <c r="J41" s="6"/>
      <c r="K41" s="51"/>
      <c r="M41" s="69" t="s">
        <v>35</v>
      </c>
      <c r="N41" s="70"/>
    </row>
    <row r="42" spans="2:15" x14ac:dyDescent="0.25">
      <c r="B42" s="2">
        <v>44720</v>
      </c>
      <c r="C42" s="10"/>
      <c r="D42" s="4"/>
      <c r="E42" s="20"/>
      <c r="F42" s="9"/>
      <c r="G42" s="9"/>
      <c r="H42" s="56"/>
      <c r="I42" s="6"/>
      <c r="J42" s="6"/>
      <c r="K42" s="51"/>
      <c r="M42" s="71"/>
      <c r="N42" s="72"/>
    </row>
    <row r="43" spans="2:15" x14ac:dyDescent="0.25">
      <c r="B43" s="2">
        <v>44721</v>
      </c>
      <c r="C43" s="10"/>
      <c r="D43" s="4"/>
      <c r="E43" s="20"/>
      <c r="F43" s="9"/>
      <c r="G43" s="9"/>
      <c r="H43" s="56"/>
      <c r="I43" s="6"/>
      <c r="J43" s="6"/>
      <c r="K43" s="51"/>
      <c r="M43" s="71"/>
      <c r="N43" s="72"/>
    </row>
    <row r="44" spans="2:15" x14ac:dyDescent="0.25">
      <c r="B44" s="2">
        <v>44722</v>
      </c>
      <c r="C44" s="10"/>
      <c r="D44" s="4"/>
      <c r="E44" s="20"/>
      <c r="F44" s="9"/>
      <c r="G44" s="9"/>
      <c r="H44" s="56"/>
      <c r="I44" s="6"/>
      <c r="J44" s="6"/>
      <c r="K44" s="51"/>
      <c r="M44" s="71"/>
      <c r="N44" s="72"/>
    </row>
    <row r="45" spans="2:15" x14ac:dyDescent="0.25">
      <c r="B45" s="2">
        <v>44723</v>
      </c>
      <c r="C45" s="10"/>
      <c r="D45" s="4"/>
      <c r="E45" s="20"/>
      <c r="F45" s="9"/>
      <c r="G45" s="9"/>
      <c r="H45" s="56"/>
      <c r="I45" s="6"/>
      <c r="J45" s="6"/>
      <c r="K45" s="51"/>
      <c r="M45" s="73"/>
      <c r="N45" s="74"/>
    </row>
    <row r="46" spans="2:15" x14ac:dyDescent="0.25">
      <c r="B46" s="2">
        <v>44724</v>
      </c>
      <c r="C46" s="10"/>
      <c r="D46" s="4"/>
      <c r="E46" s="20"/>
      <c r="F46" s="9"/>
      <c r="G46" s="9"/>
      <c r="H46" s="56"/>
      <c r="I46" s="6"/>
      <c r="J46" s="6"/>
      <c r="K46" s="51"/>
      <c r="M46" s="75"/>
      <c r="N46" s="76"/>
    </row>
    <row r="47" spans="2:15" x14ac:dyDescent="0.25">
      <c r="B47" s="2">
        <v>44725</v>
      </c>
      <c r="C47" s="10"/>
      <c r="D47" s="4"/>
      <c r="E47" s="20"/>
      <c r="F47" s="9"/>
      <c r="G47" s="9"/>
      <c r="H47" s="56"/>
      <c r="I47" s="6"/>
      <c r="J47" s="6"/>
      <c r="K47" s="51"/>
      <c r="M47" s="77"/>
      <c r="N47" s="78"/>
    </row>
    <row r="48" spans="2:15" x14ac:dyDescent="0.25">
      <c r="B48" s="2">
        <v>44726</v>
      </c>
      <c r="C48" s="10"/>
      <c r="D48" s="4"/>
      <c r="E48" s="20"/>
      <c r="F48" s="9"/>
      <c r="G48" s="9"/>
      <c r="H48" s="56"/>
      <c r="I48" s="6"/>
      <c r="J48" s="6"/>
      <c r="K48" s="51"/>
      <c r="M48" s="75"/>
      <c r="N48" s="76"/>
    </row>
    <row r="49" spans="2:14" ht="15" customHeight="1" x14ac:dyDescent="0.25">
      <c r="B49" s="2">
        <v>44727</v>
      </c>
      <c r="C49" s="10"/>
      <c r="D49" s="4"/>
      <c r="E49" s="20"/>
      <c r="F49" s="9"/>
      <c r="G49" s="9"/>
      <c r="H49" s="56"/>
      <c r="I49" s="6"/>
      <c r="J49" s="6"/>
      <c r="K49" s="51"/>
      <c r="M49" s="79"/>
      <c r="N49" s="80"/>
    </row>
    <row r="50" spans="2:14" x14ac:dyDescent="0.25">
      <c r="B50" s="2">
        <v>44728</v>
      </c>
      <c r="C50" s="10"/>
      <c r="D50" s="4"/>
      <c r="E50" s="20"/>
      <c r="F50" s="9"/>
      <c r="G50" s="9"/>
      <c r="H50" s="56"/>
      <c r="I50" s="6"/>
      <c r="J50" s="6"/>
      <c r="K50" s="51"/>
      <c r="M50" s="79"/>
      <c r="N50" s="80"/>
    </row>
    <row r="51" spans="2:14" x14ac:dyDescent="0.25">
      <c r="B51" s="2">
        <v>44729</v>
      </c>
      <c r="C51" s="10"/>
      <c r="D51" s="4"/>
      <c r="E51" s="20"/>
      <c r="F51" s="9"/>
      <c r="G51" s="9"/>
      <c r="H51" s="56"/>
      <c r="I51" s="6"/>
      <c r="J51" s="6"/>
      <c r="K51" s="51"/>
      <c r="M51" s="77"/>
      <c r="N51" s="78"/>
    </row>
    <row r="52" spans="2:14" x14ac:dyDescent="0.25">
      <c r="B52" s="2">
        <v>44730</v>
      </c>
      <c r="C52" s="10"/>
      <c r="D52" s="4"/>
      <c r="E52" s="20"/>
      <c r="F52" s="9"/>
      <c r="G52" s="9"/>
      <c r="H52" s="56"/>
      <c r="I52" s="6"/>
      <c r="J52" s="6"/>
      <c r="K52" s="51"/>
    </row>
    <row r="53" spans="2:14" x14ac:dyDescent="0.25">
      <c r="B53" s="2">
        <v>44731</v>
      </c>
      <c r="C53" s="10"/>
      <c r="D53" s="4"/>
      <c r="E53" s="20"/>
      <c r="F53" s="9"/>
      <c r="G53" s="9"/>
      <c r="H53" s="56"/>
      <c r="I53" s="6"/>
      <c r="J53" s="6"/>
      <c r="K53" s="51"/>
      <c r="M53" s="54" t="s">
        <v>25</v>
      </c>
      <c r="N53" t="s">
        <v>28</v>
      </c>
    </row>
    <row r="54" spans="2:14" x14ac:dyDescent="0.25">
      <c r="B54" s="2">
        <v>44732</v>
      </c>
      <c r="C54" s="10"/>
      <c r="D54" s="4"/>
      <c r="E54" s="20"/>
      <c r="F54" s="9"/>
      <c r="G54" s="9"/>
      <c r="H54" s="56"/>
      <c r="I54" s="6"/>
      <c r="J54" s="6"/>
      <c r="K54" s="51"/>
      <c r="M54" s="55" t="s">
        <v>26</v>
      </c>
      <c r="N54" s="50"/>
    </row>
    <row r="55" spans="2:14" x14ac:dyDescent="0.25">
      <c r="B55" s="2">
        <v>44733</v>
      </c>
      <c r="C55" s="10"/>
      <c r="D55" s="4"/>
      <c r="E55" s="20"/>
      <c r="F55" s="9"/>
      <c r="G55" s="9"/>
      <c r="H55" s="56"/>
      <c r="I55" s="6"/>
      <c r="J55" s="6"/>
      <c r="K55" s="51"/>
      <c r="M55" s="55" t="s">
        <v>36</v>
      </c>
      <c r="N55" s="50">
        <v>1440</v>
      </c>
    </row>
    <row r="56" spans="2:14" x14ac:dyDescent="0.25">
      <c r="B56" s="2">
        <v>44734</v>
      </c>
      <c r="C56" s="10"/>
      <c r="D56" s="4"/>
      <c r="E56" s="20"/>
      <c r="F56" s="9"/>
      <c r="G56" s="9"/>
      <c r="H56" s="56"/>
      <c r="I56" s="6"/>
      <c r="J56" s="6"/>
      <c r="K56" s="51"/>
      <c r="M56" s="55" t="s">
        <v>27</v>
      </c>
      <c r="N56" s="50">
        <v>1440</v>
      </c>
    </row>
    <row r="57" spans="2:14" x14ac:dyDescent="0.25">
      <c r="B57" s="2">
        <v>44735</v>
      </c>
      <c r="C57" s="10"/>
      <c r="D57" s="4"/>
      <c r="E57" s="20"/>
      <c r="F57" s="9"/>
      <c r="G57" s="9"/>
      <c r="H57" s="56"/>
      <c r="I57" s="6"/>
      <c r="J57" s="6"/>
      <c r="K57" s="51"/>
    </row>
    <row r="58" spans="2:14" x14ac:dyDescent="0.25">
      <c r="B58" s="2">
        <v>44736</v>
      </c>
      <c r="C58" s="10"/>
      <c r="D58" s="4"/>
      <c r="E58" s="20"/>
      <c r="F58" s="9"/>
      <c r="G58" s="9"/>
      <c r="H58" s="56"/>
      <c r="I58" s="6"/>
      <c r="J58" s="6"/>
      <c r="K58" s="51"/>
    </row>
    <row r="59" spans="2:14" x14ac:dyDescent="0.25">
      <c r="B59" s="2">
        <v>44737</v>
      </c>
      <c r="C59" s="10"/>
      <c r="D59" s="4"/>
      <c r="E59" s="20"/>
      <c r="F59" s="9"/>
      <c r="G59" s="9"/>
      <c r="H59" s="56"/>
      <c r="I59" s="6"/>
      <c r="J59" s="6"/>
      <c r="K59" s="51"/>
    </row>
    <row r="60" spans="2:14" x14ac:dyDescent="0.25">
      <c r="B60" s="2">
        <v>44738</v>
      </c>
      <c r="C60" s="10"/>
      <c r="D60" s="4"/>
      <c r="E60" s="20"/>
      <c r="F60" s="9"/>
      <c r="G60" s="9"/>
      <c r="H60" s="56"/>
      <c r="I60" s="6"/>
      <c r="J60" s="6"/>
      <c r="K60" s="51"/>
    </row>
    <row r="61" spans="2:14" x14ac:dyDescent="0.25">
      <c r="B61" s="2">
        <v>44739</v>
      </c>
      <c r="C61" s="10"/>
      <c r="D61" s="4"/>
      <c r="E61" s="20"/>
      <c r="F61" s="9"/>
      <c r="G61" s="9"/>
      <c r="H61" s="56"/>
      <c r="I61" s="6"/>
      <c r="J61" s="6"/>
      <c r="K61" s="51"/>
    </row>
    <row r="62" spans="2:14" x14ac:dyDescent="0.25">
      <c r="B62" s="2">
        <v>44740</v>
      </c>
      <c r="C62" s="10"/>
      <c r="D62" s="4"/>
      <c r="E62" s="20"/>
      <c r="F62" s="9"/>
      <c r="G62" s="9"/>
      <c r="H62" s="56"/>
      <c r="I62" s="6"/>
      <c r="J62" s="6"/>
      <c r="K62" s="51"/>
    </row>
    <row r="63" spans="2:14" x14ac:dyDescent="0.25">
      <c r="B63" s="2">
        <v>44741</v>
      </c>
      <c r="C63" s="10"/>
      <c r="D63" s="4"/>
      <c r="E63" s="20"/>
      <c r="F63" s="9"/>
      <c r="G63" s="9"/>
      <c r="H63" s="56"/>
      <c r="I63" s="6"/>
      <c r="J63" s="6"/>
      <c r="K63" s="51"/>
    </row>
    <row r="64" spans="2:14" x14ac:dyDescent="0.25">
      <c r="B64" s="2">
        <v>44742</v>
      </c>
      <c r="C64" s="10"/>
      <c r="D64" s="4"/>
      <c r="E64" s="20"/>
      <c r="F64" s="9"/>
      <c r="G64" s="9"/>
      <c r="H64" s="56"/>
      <c r="I64" s="6"/>
      <c r="J64" s="6"/>
      <c r="K64" s="51"/>
    </row>
    <row r="65" spans="2:11" x14ac:dyDescent="0.25">
      <c r="B65" s="2">
        <v>44743</v>
      </c>
      <c r="C65" s="10"/>
      <c r="D65" s="4"/>
      <c r="E65" s="20"/>
      <c r="F65" s="9"/>
      <c r="G65" s="9"/>
      <c r="H65" s="56"/>
      <c r="I65" s="6"/>
      <c r="J65" s="6"/>
      <c r="K65" s="51"/>
    </row>
    <row r="66" spans="2:11" x14ac:dyDescent="0.25">
      <c r="B66" s="2">
        <v>44744</v>
      </c>
      <c r="C66" s="10"/>
      <c r="D66" s="4"/>
      <c r="E66" s="20"/>
      <c r="F66" s="9"/>
      <c r="G66" s="9"/>
      <c r="H66" s="56"/>
      <c r="I66" s="6"/>
      <c r="J66" s="6"/>
      <c r="K66" s="51"/>
    </row>
    <row r="67" spans="2:11" x14ac:dyDescent="0.25">
      <c r="B67" s="2">
        <v>44745</v>
      </c>
      <c r="C67" s="10"/>
      <c r="D67" s="4"/>
      <c r="E67" s="20"/>
      <c r="F67" s="9"/>
      <c r="G67" s="9"/>
      <c r="H67" s="56"/>
      <c r="I67" s="6"/>
      <c r="J67" s="6"/>
      <c r="K67" s="51"/>
    </row>
    <row r="68" spans="2:11" x14ac:dyDescent="0.25">
      <c r="B68" s="2">
        <v>44746</v>
      </c>
      <c r="C68" s="10"/>
      <c r="D68" s="4"/>
      <c r="E68" s="20"/>
      <c r="F68" s="9"/>
      <c r="G68" s="9"/>
      <c r="H68" s="56"/>
      <c r="I68" s="6"/>
      <c r="J68" s="6"/>
      <c r="K68" s="51"/>
    </row>
    <row r="69" spans="2:11" x14ac:dyDescent="0.25">
      <c r="B69" s="2">
        <v>44747</v>
      </c>
      <c r="C69" s="10"/>
      <c r="D69" s="4"/>
      <c r="E69" s="20"/>
      <c r="F69" s="9"/>
      <c r="G69" s="9"/>
      <c r="H69" s="56"/>
      <c r="I69" s="6"/>
      <c r="J69" s="6"/>
      <c r="K69" s="51"/>
    </row>
    <row r="70" spans="2:11" x14ac:dyDescent="0.25">
      <c r="B70" s="2">
        <v>44748</v>
      </c>
      <c r="C70" s="10"/>
      <c r="D70" s="4"/>
      <c r="E70" s="20"/>
      <c r="F70" s="9"/>
      <c r="G70" s="9"/>
      <c r="H70" s="56"/>
      <c r="I70" s="6"/>
      <c r="J70" s="6"/>
      <c r="K70" s="51"/>
    </row>
    <row r="71" spans="2:11" x14ac:dyDescent="0.25">
      <c r="B71" s="2">
        <v>44749</v>
      </c>
      <c r="C71" s="10"/>
      <c r="D71" s="4"/>
      <c r="E71" s="20"/>
      <c r="F71" s="9"/>
      <c r="G71" s="9"/>
      <c r="H71" s="56"/>
      <c r="I71" s="6"/>
      <c r="J71" s="6"/>
      <c r="K71" s="51"/>
    </row>
    <row r="72" spans="2:11" x14ac:dyDescent="0.25">
      <c r="B72" s="2">
        <v>44750</v>
      </c>
      <c r="C72" s="10"/>
      <c r="D72" s="4"/>
      <c r="E72" s="20"/>
      <c r="F72" s="9"/>
      <c r="G72" s="9"/>
      <c r="H72" s="56"/>
      <c r="I72" s="6"/>
      <c r="J72" s="6"/>
      <c r="K72" s="51"/>
    </row>
    <row r="73" spans="2:11" x14ac:dyDescent="0.25">
      <c r="B73" s="2">
        <v>44751</v>
      </c>
      <c r="C73" s="10"/>
      <c r="D73" s="4"/>
      <c r="E73" s="20"/>
      <c r="F73" s="9"/>
      <c r="G73" s="9"/>
      <c r="H73" s="68"/>
      <c r="I73" s="6"/>
      <c r="J73" s="6"/>
      <c r="K73" s="51"/>
    </row>
    <row r="74" spans="2:11" x14ac:dyDescent="0.25">
      <c r="B74" s="2">
        <v>44752</v>
      </c>
      <c r="C74" s="10"/>
      <c r="D74" s="4"/>
      <c r="E74" s="20"/>
      <c r="F74" s="9"/>
      <c r="G74" s="9"/>
      <c r="H74" s="56"/>
      <c r="I74" s="6"/>
      <c r="J74" s="6"/>
      <c r="K74" s="51"/>
    </row>
    <row r="75" spans="2:11" x14ac:dyDescent="0.25">
      <c r="B75" s="2">
        <v>44753</v>
      </c>
      <c r="C75" s="10"/>
      <c r="D75" s="4"/>
      <c r="E75" s="20"/>
      <c r="F75" s="9"/>
      <c r="G75" s="9"/>
      <c r="H75" s="56"/>
      <c r="I75" s="6"/>
      <c r="J75" s="6"/>
      <c r="K75" s="51"/>
    </row>
    <row r="76" spans="2:11" x14ac:dyDescent="0.25">
      <c r="B76" s="2">
        <v>44754</v>
      </c>
      <c r="C76" s="10"/>
      <c r="D76" s="4"/>
      <c r="E76" s="20"/>
      <c r="F76" s="9"/>
      <c r="G76" s="9"/>
      <c r="H76" s="56"/>
      <c r="I76" s="6"/>
      <c r="J76" s="6"/>
      <c r="K76" s="51"/>
    </row>
    <row r="77" spans="2:11" x14ac:dyDescent="0.25">
      <c r="B77" s="2">
        <v>44755</v>
      </c>
      <c r="C77" s="10"/>
      <c r="D77" s="4"/>
      <c r="E77" s="20"/>
      <c r="F77" s="9"/>
      <c r="G77" s="9"/>
      <c r="H77" s="56"/>
      <c r="I77" s="6"/>
      <c r="J77" s="6"/>
      <c r="K77" s="51"/>
    </row>
    <row r="78" spans="2:11" x14ac:dyDescent="0.25">
      <c r="B78" s="2">
        <v>44756</v>
      </c>
      <c r="C78" s="10"/>
      <c r="D78" s="4"/>
      <c r="E78" s="20"/>
      <c r="F78" s="9"/>
      <c r="G78" s="9"/>
      <c r="H78" s="56"/>
      <c r="I78" s="6"/>
      <c r="J78" s="6"/>
      <c r="K78" s="51"/>
    </row>
    <row r="79" spans="2:11" x14ac:dyDescent="0.25">
      <c r="B79" s="2">
        <v>44757</v>
      </c>
      <c r="C79" s="10"/>
      <c r="D79" s="4"/>
      <c r="E79" s="20"/>
      <c r="F79" s="9"/>
      <c r="G79" s="9"/>
      <c r="H79" s="56"/>
      <c r="I79" s="6"/>
      <c r="J79" s="6"/>
      <c r="K79" s="51"/>
    </row>
    <row r="80" spans="2:11" x14ac:dyDescent="0.25">
      <c r="B80" s="2">
        <v>44758</v>
      </c>
      <c r="C80" s="10"/>
      <c r="D80" s="4"/>
      <c r="E80" s="20"/>
      <c r="F80" s="9"/>
      <c r="G80" s="9"/>
      <c r="H80" s="56"/>
      <c r="I80" s="6"/>
      <c r="J80" s="6"/>
      <c r="K80" s="51"/>
    </row>
    <row r="81" spans="2:11" x14ac:dyDescent="0.25">
      <c r="B81" s="2">
        <v>44759</v>
      </c>
      <c r="C81" s="10"/>
      <c r="D81" s="4"/>
      <c r="E81" s="20"/>
      <c r="F81" s="9"/>
      <c r="G81" s="9"/>
      <c r="H81" s="56"/>
      <c r="I81" s="6"/>
      <c r="J81" s="6"/>
      <c r="K81" s="51"/>
    </row>
    <row r="82" spans="2:11" x14ac:dyDescent="0.25">
      <c r="B82" s="2">
        <v>44760</v>
      </c>
      <c r="C82" s="10"/>
      <c r="D82" s="4"/>
      <c r="E82" s="20"/>
      <c r="F82" s="9"/>
      <c r="G82" s="9"/>
      <c r="H82" s="56"/>
      <c r="I82" s="6"/>
      <c r="J82" s="6"/>
      <c r="K82" s="51"/>
    </row>
    <row r="83" spans="2:11" x14ac:dyDescent="0.25">
      <c r="B83" s="2">
        <v>44761</v>
      </c>
      <c r="C83" s="10"/>
      <c r="D83" s="4"/>
      <c r="E83" s="20"/>
      <c r="F83" s="9"/>
      <c r="G83" s="9"/>
      <c r="H83" s="56"/>
      <c r="I83" s="6"/>
      <c r="J83" s="6"/>
      <c r="K83" s="51"/>
    </row>
    <row r="84" spans="2:11" x14ac:dyDescent="0.25">
      <c r="B84" s="2">
        <v>44762</v>
      </c>
      <c r="C84" s="10"/>
      <c r="D84" s="4"/>
      <c r="E84" s="20"/>
      <c r="F84" s="9"/>
      <c r="G84" s="9"/>
      <c r="H84" s="56"/>
      <c r="I84" s="6"/>
      <c r="J84" s="6"/>
      <c r="K84" s="51"/>
    </row>
    <row r="85" spans="2:11" x14ac:dyDescent="0.25">
      <c r="B85" s="2">
        <v>44763</v>
      </c>
      <c r="C85" s="10"/>
      <c r="D85" s="4"/>
      <c r="E85" s="20"/>
      <c r="F85" s="9"/>
      <c r="G85" s="9"/>
      <c r="H85" s="56"/>
      <c r="I85" s="6"/>
      <c r="J85" s="6"/>
      <c r="K85" s="51"/>
    </row>
    <row r="86" spans="2:11" x14ac:dyDescent="0.25">
      <c r="B86" s="2">
        <v>44764</v>
      </c>
      <c r="C86" s="10"/>
      <c r="D86" s="4"/>
      <c r="E86" s="20"/>
      <c r="F86" s="9"/>
      <c r="G86" s="9"/>
      <c r="H86" s="56"/>
      <c r="I86" s="6"/>
      <c r="J86" s="6"/>
      <c r="K86" s="51"/>
    </row>
    <row r="87" spans="2:11" x14ac:dyDescent="0.25">
      <c r="B87" s="2">
        <v>44765</v>
      </c>
      <c r="C87" s="10"/>
      <c r="D87" s="4"/>
      <c r="E87" s="20"/>
      <c r="F87" s="9"/>
      <c r="G87" s="9"/>
      <c r="H87" s="56"/>
      <c r="I87" s="6"/>
      <c r="J87" s="6"/>
      <c r="K87" s="51"/>
    </row>
    <row r="88" spans="2:11" x14ac:dyDescent="0.25">
      <c r="B88" s="2">
        <v>44766</v>
      </c>
      <c r="C88" s="10"/>
      <c r="D88" s="4"/>
      <c r="E88" s="20"/>
      <c r="F88" s="9"/>
      <c r="G88" s="9"/>
      <c r="H88" s="56"/>
      <c r="I88" s="6"/>
      <c r="J88" s="6"/>
      <c r="K88" s="51"/>
    </row>
    <row r="89" spans="2:11" x14ac:dyDescent="0.25">
      <c r="B89" s="2">
        <v>44767</v>
      </c>
      <c r="C89" s="10"/>
      <c r="D89" s="4"/>
      <c r="E89" s="20"/>
      <c r="F89" s="9"/>
      <c r="G89" s="9"/>
      <c r="H89" s="56"/>
      <c r="I89" s="6"/>
      <c r="J89" s="6"/>
      <c r="K89" s="51"/>
    </row>
    <row r="90" spans="2:11" x14ac:dyDescent="0.25">
      <c r="B90" s="2">
        <v>44768</v>
      </c>
      <c r="C90" s="10"/>
      <c r="D90" s="4"/>
      <c r="E90" s="20"/>
      <c r="F90" s="9"/>
      <c r="G90" s="9"/>
      <c r="H90" s="56"/>
      <c r="I90" s="6"/>
      <c r="J90" s="6"/>
      <c r="K90" s="51"/>
    </row>
    <row r="91" spans="2:11" x14ac:dyDescent="0.25">
      <c r="B91" s="2">
        <v>44769</v>
      </c>
      <c r="C91" s="10"/>
      <c r="D91" s="4"/>
      <c r="E91" s="20"/>
      <c r="F91" s="9"/>
      <c r="G91" s="9"/>
      <c r="H91" s="56"/>
      <c r="I91" s="6"/>
      <c r="J91" s="6"/>
      <c r="K91" s="51"/>
    </row>
    <row r="92" spans="2:11" x14ac:dyDescent="0.25">
      <c r="B92" s="2">
        <v>44770</v>
      </c>
      <c r="C92" s="10"/>
      <c r="D92" s="4"/>
      <c r="E92" s="20"/>
      <c r="F92" s="9"/>
      <c r="G92" s="9"/>
      <c r="H92" s="56"/>
      <c r="I92" s="6"/>
      <c r="J92" s="6"/>
      <c r="K92" s="51"/>
    </row>
    <row r="93" spans="2:11" x14ac:dyDescent="0.25">
      <c r="B93" s="2">
        <v>44771</v>
      </c>
      <c r="C93" s="10"/>
      <c r="D93" s="4"/>
      <c r="E93" s="20"/>
      <c r="F93" s="9"/>
      <c r="G93" s="9"/>
      <c r="H93" s="56"/>
      <c r="I93" s="6"/>
      <c r="J93" s="6"/>
      <c r="K93" s="51"/>
    </row>
    <row r="94" spans="2:11" x14ac:dyDescent="0.25">
      <c r="B94" s="2">
        <v>44772</v>
      </c>
      <c r="C94" s="10"/>
      <c r="D94" s="4"/>
      <c r="E94" s="20"/>
      <c r="F94" s="9"/>
      <c r="G94" s="9"/>
      <c r="H94" s="56"/>
      <c r="I94" s="6"/>
      <c r="J94" s="6"/>
      <c r="K94" s="51"/>
    </row>
    <row r="95" spans="2:11" x14ac:dyDescent="0.25">
      <c r="B95" s="2">
        <v>44773</v>
      </c>
      <c r="C95" s="10"/>
      <c r="D95" s="4"/>
      <c r="E95" s="20"/>
      <c r="F95" s="9"/>
      <c r="G95" s="9"/>
      <c r="H95" s="56"/>
      <c r="I95" s="6"/>
      <c r="J95" s="6"/>
      <c r="K95" s="51"/>
    </row>
    <row r="96" spans="2:11" x14ac:dyDescent="0.25">
      <c r="B96" s="2">
        <v>44774</v>
      </c>
      <c r="C96" s="10"/>
      <c r="D96" s="4"/>
      <c r="E96" s="20"/>
      <c r="F96" s="9"/>
      <c r="G96" s="9"/>
      <c r="H96" s="56"/>
      <c r="I96" s="6"/>
      <c r="J96" s="6"/>
      <c r="K96" s="51"/>
    </row>
    <row r="97" spans="2:11" x14ac:dyDescent="0.25">
      <c r="B97" s="2">
        <v>44775</v>
      </c>
      <c r="C97" s="10"/>
      <c r="D97" s="4"/>
      <c r="E97" s="20"/>
      <c r="F97" s="9"/>
      <c r="G97" s="9"/>
      <c r="H97" s="56"/>
      <c r="I97" s="6"/>
      <c r="J97" s="6"/>
      <c r="K97" s="51"/>
    </row>
    <row r="98" spans="2:11" x14ac:dyDescent="0.25">
      <c r="B98" s="2">
        <v>44776</v>
      </c>
      <c r="C98" s="10"/>
      <c r="D98" s="4"/>
      <c r="E98" s="20"/>
      <c r="F98" s="9"/>
      <c r="G98" s="9"/>
      <c r="H98" s="56"/>
      <c r="I98" s="6"/>
      <c r="J98" s="6"/>
      <c r="K98" s="51"/>
    </row>
    <row r="99" spans="2:11" x14ac:dyDescent="0.25">
      <c r="B99" s="2">
        <v>44777</v>
      </c>
      <c r="C99" s="10"/>
      <c r="D99" s="4"/>
      <c r="E99" s="20"/>
      <c r="F99" s="9"/>
      <c r="G99" s="9"/>
      <c r="H99" s="56"/>
      <c r="I99" s="6"/>
      <c r="J99" s="6"/>
      <c r="K99" s="51"/>
    </row>
    <row r="100" spans="2:11" x14ac:dyDescent="0.25">
      <c r="B100" s="2">
        <v>44778</v>
      </c>
      <c r="C100" s="10"/>
      <c r="D100" s="4"/>
      <c r="E100" s="20"/>
      <c r="F100" s="9"/>
      <c r="G100" s="9"/>
      <c r="H100" s="56"/>
      <c r="I100" s="6"/>
      <c r="J100" s="6"/>
      <c r="K100" s="51"/>
    </row>
    <row r="101" spans="2:11" x14ac:dyDescent="0.25">
      <c r="B101" s="2">
        <v>44779</v>
      </c>
      <c r="C101" s="10"/>
      <c r="D101" s="4"/>
      <c r="E101" s="20"/>
      <c r="F101" s="9"/>
      <c r="G101" s="9"/>
      <c r="H101" s="56"/>
      <c r="I101" s="6"/>
      <c r="J101" s="6"/>
      <c r="K101" s="51"/>
    </row>
    <row r="102" spans="2:11" x14ac:dyDescent="0.25">
      <c r="B102" s="2">
        <v>44780</v>
      </c>
      <c r="C102" s="10"/>
      <c r="D102" s="4"/>
      <c r="E102" s="20"/>
      <c r="F102" s="9"/>
      <c r="G102" s="9"/>
      <c r="H102" s="56"/>
      <c r="I102" s="6"/>
      <c r="J102" s="6"/>
      <c r="K102" s="51"/>
    </row>
    <row r="103" spans="2:11" x14ac:dyDescent="0.25">
      <c r="B103" s="2">
        <v>44781</v>
      </c>
      <c r="C103" s="10"/>
      <c r="D103" s="4"/>
      <c r="E103" s="20"/>
      <c r="F103" s="9"/>
      <c r="G103" s="9"/>
      <c r="H103" s="56"/>
      <c r="I103" s="6"/>
      <c r="J103" s="6"/>
      <c r="K103" s="51"/>
    </row>
    <row r="104" spans="2:11" x14ac:dyDescent="0.25">
      <c r="B104" s="2">
        <v>44782</v>
      </c>
      <c r="C104" s="10"/>
      <c r="D104" s="4"/>
      <c r="E104" s="20"/>
      <c r="F104" s="9"/>
      <c r="G104" s="9"/>
      <c r="H104" s="56"/>
      <c r="I104" s="6"/>
      <c r="J104" s="6"/>
      <c r="K104" s="51"/>
    </row>
    <row r="105" spans="2:11" x14ac:dyDescent="0.25">
      <c r="B105" s="2">
        <v>44783</v>
      </c>
      <c r="C105" s="10"/>
      <c r="D105" s="4"/>
      <c r="E105" s="20"/>
      <c r="F105" s="9"/>
      <c r="G105" s="9"/>
      <c r="H105" s="56"/>
      <c r="I105" s="6"/>
      <c r="J105" s="6"/>
      <c r="K105" s="51"/>
    </row>
    <row r="106" spans="2:11" x14ac:dyDescent="0.25">
      <c r="B106" s="2">
        <v>44784</v>
      </c>
      <c r="C106" s="10"/>
      <c r="D106" s="4"/>
      <c r="E106" s="20"/>
      <c r="F106" s="9"/>
      <c r="G106" s="9"/>
      <c r="H106" s="56"/>
      <c r="I106" s="6"/>
      <c r="J106" s="6"/>
      <c r="K106" s="51"/>
    </row>
    <row r="107" spans="2:11" x14ac:dyDescent="0.25">
      <c r="B107" s="2">
        <v>44785</v>
      </c>
      <c r="C107" s="10"/>
      <c r="D107" s="4"/>
      <c r="E107" s="20"/>
      <c r="F107" s="9"/>
      <c r="G107" s="9"/>
      <c r="H107" s="56"/>
      <c r="I107" s="6"/>
      <c r="J107" s="6"/>
      <c r="K107" s="51"/>
    </row>
    <row r="108" spans="2:11" x14ac:dyDescent="0.25">
      <c r="B108" s="2">
        <v>44786</v>
      </c>
      <c r="C108" s="10"/>
      <c r="D108" s="4"/>
      <c r="E108" s="20"/>
      <c r="F108" s="9"/>
      <c r="G108" s="9"/>
      <c r="H108" s="56"/>
      <c r="I108" s="6"/>
      <c r="J108" s="6"/>
      <c r="K108" s="51"/>
    </row>
    <row r="109" spans="2:11" x14ac:dyDescent="0.25">
      <c r="B109" s="2">
        <v>44787</v>
      </c>
      <c r="C109" s="10"/>
      <c r="D109" s="4"/>
      <c r="E109" s="20"/>
      <c r="F109" s="9"/>
      <c r="G109" s="9"/>
      <c r="H109" s="56"/>
      <c r="I109" s="6"/>
      <c r="J109" s="6"/>
      <c r="K109" s="51"/>
    </row>
    <row r="110" spans="2:11" x14ac:dyDescent="0.25">
      <c r="B110" s="2">
        <v>44788</v>
      </c>
      <c r="C110" s="10"/>
      <c r="D110" s="4"/>
      <c r="E110" s="20"/>
      <c r="F110" s="9"/>
      <c r="G110" s="9"/>
      <c r="H110" s="56"/>
      <c r="I110" s="6"/>
      <c r="J110" s="6"/>
      <c r="K110" s="51"/>
    </row>
    <row r="111" spans="2:11" x14ac:dyDescent="0.25">
      <c r="B111" s="2">
        <v>44789</v>
      </c>
      <c r="C111" s="10"/>
      <c r="D111" s="4"/>
      <c r="E111" s="20"/>
      <c r="F111" s="9"/>
      <c r="G111" s="9"/>
      <c r="H111" s="56"/>
      <c r="I111" s="6"/>
      <c r="J111" s="6"/>
      <c r="K111" s="51"/>
    </row>
    <row r="112" spans="2:11" x14ac:dyDescent="0.25">
      <c r="B112" s="2">
        <v>44790</v>
      </c>
      <c r="C112" s="10"/>
      <c r="D112" s="4"/>
      <c r="E112" s="20"/>
      <c r="F112" s="9"/>
      <c r="G112" s="9"/>
      <c r="H112" s="56"/>
      <c r="I112" s="6"/>
      <c r="J112" s="6"/>
      <c r="K112" s="51"/>
    </row>
    <row r="113" spans="2:11" x14ac:dyDescent="0.25">
      <c r="B113" s="2">
        <v>44791</v>
      </c>
      <c r="C113" s="10"/>
      <c r="D113" s="4"/>
      <c r="E113" s="20"/>
      <c r="F113" s="9"/>
      <c r="G113" s="9"/>
      <c r="H113" s="56"/>
      <c r="I113" s="6"/>
      <c r="J113" s="6"/>
      <c r="K113" s="51"/>
    </row>
    <row r="114" spans="2:11" x14ac:dyDescent="0.25">
      <c r="B114" s="2">
        <v>44792</v>
      </c>
      <c r="C114" s="10"/>
      <c r="D114" s="4"/>
      <c r="E114" s="20"/>
      <c r="F114" s="9"/>
      <c r="G114" s="9"/>
      <c r="H114" s="56"/>
      <c r="I114" s="6"/>
      <c r="J114" s="6"/>
      <c r="K114" s="51"/>
    </row>
    <row r="115" spans="2:11" x14ac:dyDescent="0.25">
      <c r="B115" s="2">
        <v>44793</v>
      </c>
      <c r="C115" s="10"/>
      <c r="D115" s="4"/>
      <c r="E115" s="20"/>
      <c r="F115" s="9"/>
      <c r="G115" s="9"/>
      <c r="H115" s="56"/>
      <c r="I115" s="6"/>
      <c r="J115" s="6"/>
      <c r="K115" s="51"/>
    </row>
    <row r="116" spans="2:11" x14ac:dyDescent="0.25">
      <c r="B116" s="2">
        <v>44794</v>
      </c>
      <c r="C116" s="10"/>
      <c r="D116" s="4"/>
      <c r="E116" s="20"/>
      <c r="F116" s="9"/>
      <c r="G116" s="9"/>
      <c r="H116" s="56"/>
      <c r="I116" s="6"/>
      <c r="J116" s="6"/>
      <c r="K116" s="51"/>
    </row>
    <row r="117" spans="2:11" x14ac:dyDescent="0.25">
      <c r="B117" s="2">
        <v>44795</v>
      </c>
      <c r="C117" s="10"/>
      <c r="D117" s="4"/>
      <c r="E117" s="20"/>
      <c r="F117" s="9"/>
      <c r="G117" s="9"/>
      <c r="H117" s="56"/>
      <c r="I117" s="6"/>
      <c r="J117" s="6"/>
      <c r="K117" s="51"/>
    </row>
    <row r="118" spans="2:11" x14ac:dyDescent="0.25">
      <c r="B118" s="2">
        <v>44796</v>
      </c>
      <c r="C118" s="10"/>
      <c r="D118" s="4"/>
      <c r="E118" s="20"/>
      <c r="F118" s="9"/>
      <c r="G118" s="9"/>
      <c r="H118" s="56"/>
      <c r="I118" s="6"/>
      <c r="J118" s="6"/>
      <c r="K118" s="51"/>
    </row>
    <row r="119" spans="2:11" x14ac:dyDescent="0.25">
      <c r="B119" s="2">
        <v>44797</v>
      </c>
      <c r="C119" s="10"/>
      <c r="D119" s="4"/>
      <c r="E119" s="20"/>
      <c r="F119" s="9"/>
      <c r="G119" s="9"/>
      <c r="H119" s="56"/>
      <c r="I119" s="6"/>
      <c r="J119" s="6"/>
      <c r="K119" s="51"/>
    </row>
    <row r="120" spans="2:11" x14ac:dyDescent="0.25">
      <c r="B120" s="2">
        <v>44798</v>
      </c>
      <c r="C120" s="10"/>
      <c r="D120" s="4"/>
      <c r="E120" s="20"/>
      <c r="F120" s="9"/>
      <c r="G120" s="9"/>
      <c r="H120" s="56"/>
      <c r="I120" s="6"/>
      <c r="J120" s="6"/>
      <c r="K120" s="51"/>
    </row>
    <row r="121" spans="2:11" x14ac:dyDescent="0.25">
      <c r="B121" s="2">
        <v>44799</v>
      </c>
      <c r="C121" s="10"/>
      <c r="D121" s="4"/>
      <c r="E121" s="20"/>
      <c r="F121" s="9"/>
      <c r="G121" s="9"/>
      <c r="H121" s="56"/>
      <c r="I121" s="6"/>
      <c r="J121" s="6"/>
      <c r="K121" s="51"/>
    </row>
    <row r="122" spans="2:11" x14ac:dyDescent="0.25">
      <c r="B122" s="2">
        <v>44800</v>
      </c>
      <c r="C122" s="10"/>
      <c r="D122" s="4"/>
      <c r="E122" s="20"/>
      <c r="F122" s="9"/>
      <c r="G122" s="9"/>
      <c r="H122" s="56"/>
      <c r="I122" s="6"/>
      <c r="J122" s="6"/>
      <c r="K122" s="51"/>
    </row>
    <row r="123" spans="2:11" x14ac:dyDescent="0.25">
      <c r="B123" s="2">
        <v>44801</v>
      </c>
      <c r="C123" s="10"/>
      <c r="D123" s="4"/>
      <c r="E123" s="20"/>
      <c r="F123" s="9"/>
      <c r="G123" s="9"/>
      <c r="H123" s="56"/>
      <c r="I123" s="6"/>
      <c r="J123" s="6"/>
      <c r="K123" s="51"/>
    </row>
    <row r="124" spans="2:11" x14ac:dyDescent="0.25">
      <c r="B124" s="2">
        <v>44802</v>
      </c>
      <c r="C124" s="10"/>
      <c r="D124" s="4"/>
      <c r="E124" s="20"/>
      <c r="F124" s="9"/>
      <c r="G124" s="9"/>
      <c r="H124" s="56"/>
      <c r="I124" s="6"/>
      <c r="J124" s="6"/>
      <c r="K124" s="51"/>
    </row>
    <row r="125" spans="2:11" x14ac:dyDescent="0.25">
      <c r="B125" s="2">
        <v>44803</v>
      </c>
      <c r="C125" s="10"/>
      <c r="D125" s="4"/>
      <c r="E125" s="20"/>
      <c r="F125" s="9"/>
      <c r="G125" s="9"/>
      <c r="H125" s="56"/>
      <c r="I125" s="6"/>
      <c r="J125" s="6"/>
      <c r="K125" s="51"/>
    </row>
    <row r="126" spans="2:11" x14ac:dyDescent="0.25">
      <c r="B126" s="2">
        <v>44804</v>
      </c>
      <c r="C126" s="10"/>
      <c r="D126" s="4"/>
      <c r="E126" s="20"/>
      <c r="F126" s="9"/>
      <c r="G126" s="9"/>
      <c r="H126" s="56"/>
      <c r="I126" s="6"/>
      <c r="J126" s="6"/>
      <c r="K126" s="51"/>
    </row>
    <row r="127" spans="2:11" x14ac:dyDescent="0.25">
      <c r="B127" s="2">
        <v>44805</v>
      </c>
      <c r="C127" s="10"/>
      <c r="D127" s="4"/>
      <c r="E127" s="20"/>
      <c r="F127" s="9"/>
      <c r="G127" s="9"/>
      <c r="H127" s="56"/>
      <c r="I127" s="6"/>
      <c r="J127" s="6"/>
      <c r="K127" s="51"/>
    </row>
    <row r="128" spans="2:11" x14ac:dyDescent="0.25">
      <c r="B128" s="2">
        <v>44806</v>
      </c>
      <c r="C128" s="10"/>
      <c r="D128" s="4"/>
      <c r="E128" s="20"/>
      <c r="F128" s="9"/>
      <c r="G128" s="9"/>
      <c r="H128" s="56"/>
      <c r="I128" s="6"/>
      <c r="J128" s="6"/>
      <c r="K128" s="51"/>
    </row>
    <row r="129" spans="2:11" x14ac:dyDescent="0.25">
      <c r="B129" s="2">
        <v>44807</v>
      </c>
      <c r="C129" s="10"/>
      <c r="D129" s="4"/>
      <c r="E129" s="20"/>
      <c r="F129" s="9"/>
      <c r="G129" s="9"/>
      <c r="H129" s="56"/>
      <c r="I129" s="6"/>
      <c r="J129" s="6"/>
      <c r="K129" s="51"/>
    </row>
    <row r="130" spans="2:11" x14ac:dyDescent="0.25">
      <c r="B130" s="2">
        <v>44808</v>
      </c>
      <c r="C130" s="10"/>
      <c r="D130" s="4"/>
      <c r="E130" s="20"/>
      <c r="F130" s="9"/>
      <c r="G130" s="9"/>
      <c r="H130" s="56"/>
      <c r="I130" s="6"/>
      <c r="J130" s="6"/>
      <c r="K130" s="51"/>
    </row>
    <row r="131" spans="2:11" x14ac:dyDescent="0.25">
      <c r="B131" s="2">
        <v>44809</v>
      </c>
      <c r="C131" s="10"/>
      <c r="D131" s="4"/>
      <c r="E131" s="20"/>
      <c r="F131" s="9"/>
      <c r="G131" s="9"/>
      <c r="H131" s="56"/>
      <c r="I131" s="6"/>
      <c r="J131" s="6"/>
      <c r="K131" s="51"/>
    </row>
    <row r="132" spans="2:11" x14ac:dyDescent="0.25">
      <c r="B132" s="2">
        <v>44810</v>
      </c>
      <c r="C132" s="10"/>
      <c r="D132" s="4"/>
      <c r="E132" s="20"/>
      <c r="F132" s="9"/>
      <c r="G132" s="9"/>
      <c r="H132" s="56"/>
      <c r="I132" s="6"/>
      <c r="J132" s="6"/>
      <c r="K132" s="51"/>
    </row>
    <row r="133" spans="2:11" x14ac:dyDescent="0.25">
      <c r="B133" s="2">
        <v>44811</v>
      </c>
      <c r="C133" s="10"/>
      <c r="D133" s="4"/>
      <c r="E133" s="20"/>
      <c r="F133" s="9"/>
      <c r="G133" s="9"/>
      <c r="H133" s="56"/>
      <c r="I133" s="6"/>
      <c r="J133" s="6"/>
      <c r="K133" s="51"/>
    </row>
    <row r="134" spans="2:11" x14ac:dyDescent="0.25">
      <c r="B134" s="2">
        <v>44812</v>
      </c>
      <c r="C134" s="10"/>
      <c r="D134" s="4"/>
      <c r="E134" s="20"/>
      <c r="F134" s="9"/>
      <c r="G134" s="9"/>
      <c r="H134" s="56"/>
      <c r="I134" s="6"/>
      <c r="J134" s="6"/>
      <c r="K134" s="51"/>
    </row>
    <row r="135" spans="2:11" x14ac:dyDescent="0.25">
      <c r="B135" s="2">
        <v>44813</v>
      </c>
      <c r="C135" s="10"/>
      <c r="D135" s="4"/>
      <c r="E135" s="20"/>
      <c r="F135" s="9"/>
      <c r="G135" s="9"/>
      <c r="H135" s="56"/>
      <c r="I135" s="6"/>
      <c r="J135" s="6"/>
      <c r="K135" s="51"/>
    </row>
    <row r="136" spans="2:11" x14ac:dyDescent="0.25">
      <c r="B136" s="2">
        <v>44814</v>
      </c>
      <c r="C136" s="10"/>
      <c r="D136" s="4"/>
      <c r="E136" s="20"/>
      <c r="F136" s="9"/>
      <c r="G136" s="9"/>
      <c r="H136" s="56"/>
      <c r="I136" s="6"/>
      <c r="J136" s="6"/>
      <c r="K136" s="51"/>
    </row>
    <row r="137" spans="2:11" x14ac:dyDescent="0.25">
      <c r="B137" s="2">
        <v>44815</v>
      </c>
      <c r="C137" s="10"/>
      <c r="D137" s="4"/>
      <c r="E137" s="20"/>
      <c r="F137" s="9"/>
      <c r="G137" s="9"/>
      <c r="H137" s="56"/>
      <c r="I137" s="6"/>
      <c r="J137" s="6"/>
      <c r="K137" s="51"/>
    </row>
    <row r="138" spans="2:11" x14ac:dyDescent="0.25">
      <c r="B138" s="2">
        <v>44816</v>
      </c>
      <c r="C138" s="10"/>
      <c r="D138" s="4"/>
      <c r="E138" s="20"/>
      <c r="F138" s="9"/>
      <c r="G138" s="9"/>
      <c r="H138" s="56"/>
      <c r="I138" s="6"/>
      <c r="J138" s="6"/>
      <c r="K138" s="51"/>
    </row>
    <row r="139" spans="2:11" x14ac:dyDescent="0.25">
      <c r="B139" s="2">
        <v>44817</v>
      </c>
      <c r="C139" s="10"/>
      <c r="D139" s="4"/>
      <c r="E139" s="20"/>
      <c r="F139" s="9"/>
      <c r="G139" s="9"/>
      <c r="H139" s="56"/>
      <c r="I139" s="6"/>
      <c r="J139" s="6"/>
      <c r="K139" s="51"/>
    </row>
    <row r="140" spans="2:11" x14ac:dyDescent="0.25">
      <c r="B140" s="2">
        <v>44818</v>
      </c>
      <c r="C140" s="10"/>
      <c r="D140" s="4"/>
      <c r="E140" s="20"/>
      <c r="F140" s="9"/>
      <c r="G140" s="9"/>
      <c r="H140" s="56"/>
      <c r="I140" s="6"/>
      <c r="J140" s="6"/>
      <c r="K140" s="51"/>
    </row>
    <row r="141" spans="2:11" x14ac:dyDescent="0.25">
      <c r="B141" s="2">
        <v>44819</v>
      </c>
      <c r="C141" s="10"/>
      <c r="D141" s="4"/>
      <c r="E141" s="20"/>
      <c r="F141" s="9"/>
      <c r="G141" s="9"/>
      <c r="H141" s="56"/>
      <c r="I141" s="6"/>
      <c r="J141" s="6"/>
      <c r="K141" s="51"/>
    </row>
    <row r="142" spans="2:11" x14ac:dyDescent="0.25">
      <c r="B142" s="2">
        <v>44820</v>
      </c>
      <c r="C142" s="10"/>
      <c r="D142" s="4"/>
      <c r="E142" s="20"/>
      <c r="F142" s="9"/>
      <c r="G142" s="9"/>
      <c r="H142" s="56"/>
      <c r="I142" s="6"/>
      <c r="J142" s="6"/>
      <c r="K142" s="51"/>
    </row>
    <row r="143" spans="2:11" x14ac:dyDescent="0.25">
      <c r="B143" s="2">
        <v>44821</v>
      </c>
      <c r="C143" s="10"/>
      <c r="D143" s="4"/>
      <c r="E143" s="20"/>
      <c r="F143" s="9"/>
      <c r="G143" s="9"/>
      <c r="H143" s="56"/>
      <c r="I143" s="6"/>
      <c r="J143" s="6"/>
      <c r="K143" s="51"/>
    </row>
    <row r="144" spans="2:11" x14ac:dyDescent="0.25">
      <c r="B144" s="2">
        <v>44822</v>
      </c>
      <c r="C144" s="10"/>
      <c r="D144" s="4"/>
      <c r="E144" s="20"/>
      <c r="F144" s="9"/>
      <c r="G144" s="9"/>
      <c r="H144" s="56"/>
      <c r="I144" s="6"/>
      <c r="J144" s="6"/>
      <c r="K144" s="51"/>
    </row>
    <row r="145" spans="2:11" x14ac:dyDescent="0.25">
      <c r="B145" s="2">
        <v>44823</v>
      </c>
      <c r="C145" s="10"/>
      <c r="D145" s="4"/>
      <c r="E145" s="20"/>
      <c r="F145" s="9"/>
      <c r="G145" s="9"/>
      <c r="H145" s="56"/>
      <c r="I145" s="6"/>
      <c r="J145" s="6"/>
      <c r="K145" s="51"/>
    </row>
    <row r="146" spans="2:11" x14ac:dyDescent="0.25">
      <c r="B146" s="2">
        <v>44824</v>
      </c>
      <c r="C146" s="10"/>
      <c r="D146" s="4"/>
      <c r="E146" s="20"/>
      <c r="F146" s="9"/>
      <c r="G146" s="9"/>
      <c r="H146" s="56"/>
      <c r="I146" s="6"/>
      <c r="J146" s="6"/>
      <c r="K146" s="51"/>
    </row>
    <row r="147" spans="2:11" x14ac:dyDescent="0.25">
      <c r="B147" s="2">
        <v>44825</v>
      </c>
      <c r="C147" s="10"/>
      <c r="D147" s="4"/>
      <c r="E147" s="20"/>
      <c r="F147" s="9"/>
      <c r="G147" s="9"/>
      <c r="H147" s="56"/>
      <c r="I147" s="6"/>
      <c r="J147" s="6"/>
      <c r="K147" s="51"/>
    </row>
    <row r="148" spans="2:11" x14ac:dyDescent="0.25">
      <c r="B148" s="2">
        <v>44826</v>
      </c>
      <c r="C148" s="10"/>
      <c r="D148" s="4"/>
      <c r="E148" s="20"/>
      <c r="F148" s="9"/>
      <c r="G148" s="9"/>
      <c r="H148" s="56"/>
      <c r="I148" s="6"/>
      <c r="J148" s="6"/>
      <c r="K148" s="51"/>
    </row>
    <row r="149" spans="2:11" x14ac:dyDescent="0.25">
      <c r="B149" s="2">
        <v>44827</v>
      </c>
      <c r="C149" s="10"/>
      <c r="D149" s="4"/>
      <c r="E149" s="20"/>
      <c r="F149" s="9"/>
      <c r="G149" s="9"/>
      <c r="H149" s="56"/>
      <c r="I149" s="6"/>
      <c r="J149" s="6"/>
      <c r="K149" s="51"/>
    </row>
    <row r="150" spans="2:11" x14ac:dyDescent="0.25">
      <c r="B150" s="2">
        <v>44828</v>
      </c>
      <c r="C150" s="10"/>
      <c r="D150" s="4"/>
      <c r="E150" s="20"/>
      <c r="F150" s="9"/>
      <c r="G150" s="9"/>
      <c r="H150" s="56"/>
      <c r="I150" s="6"/>
      <c r="J150" s="6"/>
      <c r="K150" s="51"/>
    </row>
    <row r="151" spans="2:11" x14ac:dyDescent="0.25">
      <c r="B151" s="2">
        <v>44829</v>
      </c>
      <c r="C151" s="10"/>
      <c r="D151" s="4"/>
      <c r="E151" s="20"/>
      <c r="F151" s="9"/>
      <c r="G151" s="9"/>
      <c r="H151" s="56"/>
      <c r="I151" s="6"/>
      <c r="J151" s="6"/>
      <c r="K151" s="51"/>
    </row>
    <row r="152" spans="2:11" x14ac:dyDescent="0.25">
      <c r="B152" s="2">
        <v>44830</v>
      </c>
      <c r="C152" s="10"/>
      <c r="D152" s="4"/>
      <c r="E152" s="20"/>
      <c r="F152" s="9"/>
      <c r="G152" s="9"/>
      <c r="H152" s="56"/>
      <c r="I152" s="6"/>
      <c r="J152" s="6"/>
      <c r="K152" s="51"/>
    </row>
    <row r="153" spans="2:11" x14ac:dyDescent="0.25">
      <c r="B153" s="2">
        <v>44831</v>
      </c>
      <c r="C153" s="10"/>
      <c r="D153" s="4"/>
      <c r="E153" s="20"/>
      <c r="F153" s="9"/>
      <c r="G153" s="9"/>
      <c r="H153" s="56"/>
      <c r="I153" s="6"/>
      <c r="J153" s="6"/>
      <c r="K153" s="51"/>
    </row>
    <row r="154" spans="2:11" x14ac:dyDescent="0.25">
      <c r="B154" s="2">
        <v>44832</v>
      </c>
      <c r="C154" s="10"/>
      <c r="D154" s="4"/>
      <c r="E154" s="20"/>
      <c r="F154" s="9"/>
      <c r="G154" s="9"/>
      <c r="H154" s="56"/>
      <c r="I154" s="6"/>
      <c r="J154" s="6"/>
      <c r="K154" s="51"/>
    </row>
    <row r="155" spans="2:11" x14ac:dyDescent="0.25">
      <c r="B155" s="2">
        <v>44833</v>
      </c>
      <c r="C155" s="10"/>
      <c r="D155" s="4"/>
      <c r="E155" s="20"/>
      <c r="F155" s="9"/>
      <c r="G155" s="9"/>
      <c r="H155" s="56"/>
      <c r="I155" s="6"/>
      <c r="J155" s="6"/>
      <c r="K155" s="51"/>
    </row>
    <row r="156" spans="2:11" x14ac:dyDescent="0.25">
      <c r="B156" s="2">
        <v>44834</v>
      </c>
      <c r="C156" s="10"/>
      <c r="D156" s="4"/>
      <c r="E156" s="20"/>
      <c r="F156" s="9"/>
      <c r="G156" s="9"/>
      <c r="H156" s="56"/>
      <c r="I156" s="57"/>
      <c r="J156" s="57"/>
      <c r="K156" s="58"/>
    </row>
    <row r="158" spans="2:11" x14ac:dyDescent="0.25">
      <c r="C158" s="61" t="s">
        <v>3</v>
      </c>
      <c r="D158" s="62" t="s">
        <v>20</v>
      </c>
      <c r="E158" s="63" t="s">
        <v>4</v>
      </c>
      <c r="F158" s="64" t="s">
        <v>5</v>
      </c>
      <c r="G158" s="64" t="s">
        <v>6</v>
      </c>
      <c r="H158" s="65" t="s">
        <v>7</v>
      </c>
      <c r="I158" s="66" t="s">
        <v>17</v>
      </c>
      <c r="J158" s="66" t="s">
        <v>22</v>
      </c>
      <c r="K158" s="59" t="s">
        <v>23</v>
      </c>
    </row>
    <row r="159" spans="2:11" x14ac:dyDescent="0.25">
      <c r="C159"/>
      <c r="D159"/>
      <c r="E159"/>
      <c r="F159"/>
      <c r="G159"/>
      <c r="K159"/>
    </row>
    <row r="160" spans="2:11" x14ac:dyDescent="0.25">
      <c r="C160"/>
      <c r="D160"/>
      <c r="E160"/>
      <c r="F160"/>
      <c r="G160"/>
      <c r="K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</sheetData>
  <mergeCells count="13">
    <mergeCell ref="M41:N45"/>
    <mergeCell ref="M46:N47"/>
    <mergeCell ref="M48:N51"/>
    <mergeCell ref="M2:O5"/>
    <mergeCell ref="M6:O7"/>
    <mergeCell ref="M8:O13"/>
    <mergeCell ref="M15:O18"/>
    <mergeCell ref="M19:O20"/>
    <mergeCell ref="M22:O25"/>
    <mergeCell ref="M26:O27"/>
    <mergeCell ref="M38:O39"/>
    <mergeCell ref="M36:O37"/>
    <mergeCell ref="M32:O35"/>
  </mergeCell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Päivävaraus">
                <anchor moveWithCells="1" sizeWithCells="1">
                  <from>
                    <xdr:col>12</xdr:col>
                    <xdr:colOff>66675</xdr:colOff>
                    <xdr:row>7</xdr:row>
                    <xdr:rowOff>85725</xdr:rowOff>
                  </from>
                  <to>
                    <xdr:col>13</xdr:col>
                    <xdr:colOff>219075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Poisto">
                <anchor moveWithCells="1" sizeWithCells="1">
                  <from>
                    <xdr:col>13</xdr:col>
                    <xdr:colOff>276225</xdr:colOff>
                    <xdr:row>7</xdr:row>
                    <xdr:rowOff>85725</xdr:rowOff>
                  </from>
                  <to>
                    <xdr:col>14</xdr:col>
                    <xdr:colOff>552450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Viikkovaraus">
                <anchor moveWithCells="1" sizeWithCells="1">
                  <from>
                    <xdr:col>12</xdr:col>
                    <xdr:colOff>342900</xdr:colOff>
                    <xdr:row>10</xdr:row>
                    <xdr:rowOff>171450</xdr:rowOff>
                  </from>
                  <to>
                    <xdr:col>14</xdr:col>
                    <xdr:colOff>209550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Viikonloppuvaraus">
                <anchor moveWithCells="1" sizeWithCells="1">
                  <from>
                    <xdr:col>12</xdr:col>
                    <xdr:colOff>276225</xdr:colOff>
                    <xdr:row>9</xdr:row>
                    <xdr:rowOff>9525</xdr:rowOff>
                  </from>
                  <to>
                    <xdr:col>14</xdr:col>
                    <xdr:colOff>257175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Drop Down 14">
              <controlPr defaultSize="0" autoLine="0" autoPict="0">
                <anchor moveWithCells="1">
                  <from>
                    <xdr:col>12</xdr:col>
                    <xdr:colOff>828675</xdr:colOff>
                    <xdr:row>5</xdr:row>
                    <xdr:rowOff>95250</xdr:rowOff>
                  </from>
                  <to>
                    <xdr:col>13</xdr:col>
                    <xdr:colOff>657225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0" name="Drop Down 20">
              <controlPr defaultSize="0" autoLine="0" autoPict="0">
                <anchor moveWithCells="1">
                  <from>
                    <xdr:col>12</xdr:col>
                    <xdr:colOff>85725</xdr:colOff>
                    <xdr:row>16</xdr:row>
                    <xdr:rowOff>142875</xdr:rowOff>
                  </from>
                  <to>
                    <xdr:col>12</xdr:col>
                    <xdr:colOff>1038225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1" name="Drop Down 21">
              <controlPr defaultSize="0" autoLine="0" autoPict="0">
                <anchor moveWithCells="1">
                  <from>
                    <xdr:col>13</xdr:col>
                    <xdr:colOff>409575</xdr:colOff>
                    <xdr:row>16</xdr:row>
                    <xdr:rowOff>142875</xdr:rowOff>
                  </from>
                  <to>
                    <xdr:col>14</xdr:col>
                    <xdr:colOff>542925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2" name="Button 22">
              <controlPr defaultSize="0" print="0" autoFill="0" autoPict="0" macro="[0]!Customvaraus">
                <anchor moveWithCells="1" sizeWithCells="1">
                  <from>
                    <xdr:col>12</xdr:col>
                    <xdr:colOff>66675</xdr:colOff>
                    <xdr:row>18</xdr:row>
                    <xdr:rowOff>76200</xdr:rowOff>
                  </from>
                  <to>
                    <xdr:col>12</xdr:col>
                    <xdr:colOff>1438275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3" name="Button 23">
              <controlPr defaultSize="0" print="0" autoFill="0" autoPict="0" macro="[0]!custompoisto">
                <anchor moveWithCells="1" sizeWithCells="1">
                  <from>
                    <xdr:col>13</xdr:col>
                    <xdr:colOff>47625</xdr:colOff>
                    <xdr:row>18</xdr:row>
                    <xdr:rowOff>57150</xdr:rowOff>
                  </from>
                  <to>
                    <xdr:col>14</xdr:col>
                    <xdr:colOff>533400</xdr:colOff>
                    <xdr:row>19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4" name="Drop Down 24">
              <controlPr defaultSize="0" autoLine="0" autoPict="0">
                <anchor moveWithCells="1">
                  <from>
                    <xdr:col>12</xdr:col>
                    <xdr:colOff>66675</xdr:colOff>
                    <xdr:row>25</xdr:row>
                    <xdr:rowOff>28575</xdr:rowOff>
                  </from>
                  <to>
                    <xdr:col>12</xdr:col>
                    <xdr:colOff>1419225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5" name="Scroll Bar 26">
              <controlPr defaultSize="0" autoPict="0">
                <anchor moveWithCells="1">
                  <from>
                    <xdr:col>12</xdr:col>
                    <xdr:colOff>19050</xdr:colOff>
                    <xdr:row>28</xdr:row>
                    <xdr:rowOff>0</xdr:rowOff>
                  </from>
                  <to>
                    <xdr:col>14</xdr:col>
                    <xdr:colOff>581025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6" name="Button 27">
              <controlPr defaultSize="0" print="0" autoFill="0" autoPict="0" macro="[0]!Kopiointi">
                <anchor moveWithCells="1" sizeWithCells="1">
                  <from>
                    <xdr:col>12</xdr:col>
                    <xdr:colOff>1457325</xdr:colOff>
                    <xdr:row>25</xdr:row>
                    <xdr:rowOff>47625</xdr:rowOff>
                  </from>
                  <to>
                    <xdr:col>14</xdr:col>
                    <xdr:colOff>561975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7" name="Drop Down 28">
              <controlPr defaultSize="0" autoLine="0" autoPict="0">
                <anchor moveWithCells="1">
                  <from>
                    <xdr:col>12</xdr:col>
                    <xdr:colOff>76200</xdr:colOff>
                    <xdr:row>35</xdr:row>
                    <xdr:rowOff>66675</xdr:rowOff>
                  </from>
                  <to>
                    <xdr:col>12</xdr:col>
                    <xdr:colOff>1419225</xdr:colOff>
                    <xdr:row>36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8" name="Drop Down 29">
              <controlPr defaultSize="0" autoLine="0" autoPict="0">
                <anchor moveWithCells="1">
                  <from>
                    <xdr:col>13</xdr:col>
                    <xdr:colOff>38100</xdr:colOff>
                    <xdr:row>35</xdr:row>
                    <xdr:rowOff>66675</xdr:rowOff>
                  </from>
                  <to>
                    <xdr:col>14</xdr:col>
                    <xdr:colOff>571500</xdr:colOff>
                    <xdr:row>36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9" name="Button 30">
              <controlPr defaultSize="0" print="0" autoFill="0" autoPict="0" macro="[0]!Muokkaus">
                <anchor moveWithCells="1" sizeWithCells="1">
                  <from>
                    <xdr:col>12</xdr:col>
                    <xdr:colOff>981075</xdr:colOff>
                    <xdr:row>37</xdr:row>
                    <xdr:rowOff>47625</xdr:rowOff>
                  </from>
                  <to>
                    <xdr:col>13</xdr:col>
                    <xdr:colOff>438150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0" name="Drop Down 31">
              <controlPr defaultSize="0" autoLine="0" autoPict="0">
                <anchor moveWithCells="1">
                  <from>
                    <xdr:col>12</xdr:col>
                    <xdr:colOff>57150</xdr:colOff>
                    <xdr:row>45</xdr:row>
                    <xdr:rowOff>38100</xdr:rowOff>
                  </from>
                  <to>
                    <xdr:col>12</xdr:col>
                    <xdr:colOff>800100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1" name="Drop Down 32">
              <controlPr defaultSize="0" autoLine="0" autoPict="0">
                <anchor moveWithCells="1">
                  <from>
                    <xdr:col>13</xdr:col>
                    <xdr:colOff>38100</xdr:colOff>
                    <xdr:row>45</xdr:row>
                    <xdr:rowOff>47625</xdr:rowOff>
                  </from>
                  <to>
                    <xdr:col>13</xdr:col>
                    <xdr:colOff>752475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2" name="Button 33">
              <controlPr defaultSize="0" print="0" autoFill="0" autoPict="0" macro="[0]!Suodatus">
                <anchor moveWithCells="1" sizeWithCells="1">
                  <from>
                    <xdr:col>12</xdr:col>
                    <xdr:colOff>1276350</xdr:colOff>
                    <xdr:row>47</xdr:row>
                    <xdr:rowOff>57150</xdr:rowOff>
                  </from>
                  <to>
                    <xdr:col>13</xdr:col>
                    <xdr:colOff>752475</xdr:colOff>
                    <xdr:row>48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23" name="Option Button 37">
              <controlPr defaultSize="0" autoFill="0" autoLine="0" autoPict="0">
                <anchor moveWithCells="1">
                  <from>
                    <xdr:col>12</xdr:col>
                    <xdr:colOff>123825</xdr:colOff>
                    <xdr:row>46</xdr:row>
                    <xdr:rowOff>152400</xdr:rowOff>
                  </from>
                  <to>
                    <xdr:col>12</xdr:col>
                    <xdr:colOff>1457325</xdr:colOff>
                    <xdr:row>48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24" name="Option Button 38">
              <controlPr defaultSize="0" autoFill="0" autoLine="0" autoPict="0">
                <anchor moveWithCells="1">
                  <from>
                    <xdr:col>12</xdr:col>
                    <xdr:colOff>123825</xdr:colOff>
                    <xdr:row>48</xdr:row>
                    <xdr:rowOff>47625</xdr:rowOff>
                  </from>
                  <to>
                    <xdr:col>12</xdr:col>
                    <xdr:colOff>1133475</xdr:colOff>
                    <xdr:row>49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5" name="Option Button 39">
              <controlPr defaultSize="0" autoFill="0" autoLine="0" autoPict="0">
                <anchor moveWithCells="1">
                  <from>
                    <xdr:col>12</xdr:col>
                    <xdr:colOff>123825</xdr:colOff>
                    <xdr:row>49</xdr:row>
                    <xdr:rowOff>66675</xdr:rowOff>
                  </from>
                  <to>
                    <xdr:col>12</xdr:col>
                    <xdr:colOff>1238250</xdr:colOff>
                    <xdr:row>50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6" name="Button 40">
              <controlPr defaultSize="0" print="0" autoFill="0" autoPict="0" macro="[0]!Suodatuspoisto">
                <anchor moveWithCells="1" sizeWithCells="1">
                  <from>
                    <xdr:col>12</xdr:col>
                    <xdr:colOff>1276350</xdr:colOff>
                    <xdr:row>49</xdr:row>
                    <xdr:rowOff>19050</xdr:rowOff>
                  </from>
                  <to>
                    <xdr:col>13</xdr:col>
                    <xdr:colOff>752475</xdr:colOff>
                    <xdr:row>50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2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BE172-C686-4736-9508-C1B8A5C6AB4A}">
  <sheetPr codeName="Sheet3"/>
  <dimension ref="B1:AE259"/>
  <sheetViews>
    <sheetView tabSelected="1" workbookViewId="0">
      <selection activeCell="M54" sqref="M54"/>
    </sheetView>
  </sheetViews>
  <sheetFormatPr defaultRowHeight="15" x14ac:dyDescent="0.25"/>
  <cols>
    <col min="2" max="2" width="13" customWidth="1"/>
    <col min="3" max="3" width="24.28515625" customWidth="1"/>
    <col min="4" max="4" width="8.140625" customWidth="1"/>
    <col min="5" max="5" width="35.85546875" customWidth="1"/>
    <col min="6" max="6" width="13.5703125" customWidth="1"/>
    <col min="7" max="7" width="17" customWidth="1"/>
    <col min="8" max="8" width="30.7109375" customWidth="1"/>
    <col min="9" max="9" width="32.140625" customWidth="1"/>
    <col min="10" max="10" width="10.7109375" customWidth="1"/>
    <col min="11" max="11" width="10.7109375" style="50" customWidth="1"/>
    <col min="12" max="12" width="5" customWidth="1"/>
    <col min="13" max="13" width="22.140625" customWidth="1"/>
    <col min="14" max="14" width="12.28515625" customWidth="1"/>
    <col min="15" max="16" width="9.140625" customWidth="1"/>
    <col min="17" max="17" width="23.42578125" bestFit="1" customWidth="1"/>
    <col min="18" max="18" width="12.28515625" bestFit="1" customWidth="1"/>
  </cols>
  <sheetData>
    <row r="1" spans="2:31" ht="26.25" x14ac:dyDescent="0.4">
      <c r="B1" s="12" t="s">
        <v>32</v>
      </c>
      <c r="D1" s="1"/>
      <c r="E1" s="17"/>
      <c r="F1" s="7"/>
      <c r="G1" s="7"/>
      <c r="M1" s="5"/>
      <c r="S1" s="3"/>
      <c r="V1" s="41">
        <v>12</v>
      </c>
      <c r="W1" s="42" t="s">
        <v>3</v>
      </c>
      <c r="X1" s="50">
        <v>40</v>
      </c>
    </row>
    <row r="2" spans="2:31" ht="15" customHeight="1" x14ac:dyDescent="0.25">
      <c r="D2" s="1"/>
      <c r="E2" s="17"/>
      <c r="F2" s="7"/>
      <c r="G2" s="7"/>
      <c r="M2" s="81" t="s">
        <v>0</v>
      </c>
      <c r="N2" s="82"/>
      <c r="O2" s="83"/>
      <c r="V2" s="43">
        <v>10</v>
      </c>
      <c r="W2" s="30" t="s">
        <v>19</v>
      </c>
      <c r="X2" s="50">
        <v>80</v>
      </c>
    </row>
    <row r="3" spans="2:31" ht="15" customHeight="1" x14ac:dyDescent="0.25">
      <c r="B3" s="13" t="s">
        <v>2</v>
      </c>
      <c r="C3" s="14" t="s">
        <v>3</v>
      </c>
      <c r="D3" s="48" t="s">
        <v>20</v>
      </c>
      <c r="E3" s="18" t="s">
        <v>4</v>
      </c>
      <c r="F3" s="15" t="s">
        <v>5</v>
      </c>
      <c r="G3" s="15" t="s">
        <v>6</v>
      </c>
      <c r="H3" s="16" t="s">
        <v>7</v>
      </c>
      <c r="I3" s="40" t="s">
        <v>17</v>
      </c>
      <c r="J3" s="40" t="s">
        <v>22</v>
      </c>
      <c r="K3" s="52" t="s">
        <v>23</v>
      </c>
      <c r="M3" s="84"/>
      <c r="N3" s="85"/>
      <c r="O3" s="86"/>
      <c r="V3" s="43">
        <v>35</v>
      </c>
      <c r="W3" s="44" t="s">
        <v>18</v>
      </c>
      <c r="X3" s="50">
        <v>120</v>
      </c>
    </row>
    <row r="4" spans="2:31" ht="15" customHeight="1" x14ac:dyDescent="0.25">
      <c r="B4" s="2">
        <v>44682</v>
      </c>
      <c r="C4" s="8"/>
      <c r="D4" s="21"/>
      <c r="E4" s="19"/>
      <c r="F4" s="8"/>
      <c r="G4" s="8"/>
      <c r="H4" s="33"/>
      <c r="I4" s="6"/>
      <c r="J4" s="6"/>
      <c r="K4" s="51"/>
      <c r="M4" s="84"/>
      <c r="N4" s="85"/>
      <c r="O4" s="86"/>
      <c r="V4" s="43">
        <v>38</v>
      </c>
      <c r="W4" s="44" t="s">
        <v>5</v>
      </c>
      <c r="X4" s="50">
        <v>180</v>
      </c>
    </row>
    <row r="5" spans="2:31" ht="15" customHeight="1" x14ac:dyDescent="0.25">
      <c r="B5" s="2">
        <v>44683</v>
      </c>
      <c r="C5" s="8"/>
      <c r="D5" s="21"/>
      <c r="E5" s="19"/>
      <c r="F5" s="8"/>
      <c r="G5" s="8"/>
      <c r="H5" s="34"/>
      <c r="I5" s="6"/>
      <c r="J5" s="6"/>
      <c r="K5" s="51"/>
      <c r="M5" s="84"/>
      <c r="N5" s="85"/>
      <c r="O5" s="86"/>
      <c r="V5" s="43">
        <v>36</v>
      </c>
      <c r="W5" s="44" t="s">
        <v>6</v>
      </c>
      <c r="X5" s="50">
        <v>220</v>
      </c>
    </row>
    <row r="6" spans="2:31" ht="15.75" customHeight="1" thickBot="1" x14ac:dyDescent="0.3">
      <c r="B6" s="2">
        <v>44684</v>
      </c>
      <c r="C6" s="8"/>
      <c r="D6" s="21"/>
      <c r="E6" s="19"/>
      <c r="F6" s="8"/>
      <c r="G6" s="8"/>
      <c r="H6" s="34"/>
      <c r="I6" s="6"/>
      <c r="J6" s="6"/>
      <c r="K6" s="51"/>
      <c r="M6" s="111"/>
      <c r="N6" s="111"/>
      <c r="O6" s="111"/>
      <c r="V6" s="45">
        <v>7</v>
      </c>
      <c r="W6" s="44" t="s">
        <v>7</v>
      </c>
      <c r="X6" s="50">
        <v>500</v>
      </c>
    </row>
    <row r="7" spans="2:31" ht="15.75" customHeight="1" thickBot="1" x14ac:dyDescent="0.3">
      <c r="B7" s="2">
        <v>44685</v>
      </c>
      <c r="C7" s="8"/>
      <c r="D7" s="21"/>
      <c r="E7" s="19"/>
      <c r="F7" s="8"/>
      <c r="G7" s="8"/>
      <c r="H7" s="34"/>
      <c r="I7" s="6"/>
      <c r="J7" s="6"/>
      <c r="K7" s="51"/>
      <c r="M7" s="111"/>
      <c r="N7" s="111"/>
      <c r="O7" s="111"/>
      <c r="V7" s="47"/>
      <c r="W7" s="46" t="s">
        <v>17</v>
      </c>
      <c r="X7" s="50">
        <v>900</v>
      </c>
    </row>
    <row r="8" spans="2:31" ht="15" customHeight="1" x14ac:dyDescent="0.25">
      <c r="B8" s="2">
        <v>44686</v>
      </c>
      <c r="C8" s="8"/>
      <c r="D8" s="21"/>
      <c r="E8" s="19"/>
      <c r="F8" s="8"/>
      <c r="G8" s="8"/>
      <c r="H8" s="67"/>
      <c r="I8" s="6"/>
      <c r="J8" s="6"/>
      <c r="K8" s="51"/>
      <c r="M8" s="111"/>
      <c r="N8" s="111"/>
      <c r="O8" s="111"/>
      <c r="V8" t="s">
        <v>8</v>
      </c>
      <c r="W8" s="49" t="s">
        <v>30</v>
      </c>
      <c r="X8">
        <v>1</v>
      </c>
    </row>
    <row r="9" spans="2:31" ht="15" customHeight="1" x14ac:dyDescent="0.25">
      <c r="B9" s="2">
        <v>44687</v>
      </c>
      <c r="C9" s="8"/>
      <c r="D9" s="21"/>
      <c r="E9" s="19"/>
      <c r="F9" s="8"/>
      <c r="G9" s="8"/>
      <c r="H9" s="34"/>
      <c r="I9" s="6"/>
      <c r="J9" s="6"/>
      <c r="K9" s="51"/>
      <c r="M9" s="111"/>
      <c r="N9" s="111"/>
      <c r="O9" s="111"/>
      <c r="W9" s="49" t="s">
        <v>23</v>
      </c>
      <c r="X9">
        <v>6</v>
      </c>
    </row>
    <row r="10" spans="2:31" ht="15" customHeight="1" x14ac:dyDescent="0.25">
      <c r="B10" s="2">
        <v>44688</v>
      </c>
      <c r="C10" s="8"/>
      <c r="D10" s="21"/>
      <c r="E10" s="19"/>
      <c r="F10" s="8"/>
      <c r="G10" s="8"/>
      <c r="H10" s="34"/>
      <c r="I10" s="6"/>
      <c r="J10" s="6"/>
      <c r="K10" s="51"/>
      <c r="M10" s="111"/>
      <c r="N10" s="111"/>
      <c r="O10" s="111"/>
      <c r="X10">
        <v>3</v>
      </c>
    </row>
    <row r="11" spans="2:31" ht="15" customHeight="1" x14ac:dyDescent="0.25">
      <c r="B11" s="2">
        <v>44689</v>
      </c>
      <c r="C11" s="8"/>
      <c r="D11" s="21"/>
      <c r="E11" s="19"/>
      <c r="F11" s="8"/>
      <c r="G11" s="8"/>
      <c r="H11" s="34"/>
      <c r="I11" s="6"/>
      <c r="J11" s="6"/>
      <c r="K11" s="51"/>
      <c r="M11" s="111"/>
      <c r="N11" s="111"/>
      <c r="O11" s="111"/>
      <c r="V11" s="59" t="s">
        <v>23</v>
      </c>
      <c r="W11" s="59" t="s">
        <v>23</v>
      </c>
      <c r="Y11" s="60" t="s">
        <v>5</v>
      </c>
      <c r="Z11" s="59" t="s">
        <v>23</v>
      </c>
      <c r="AA11" s="59" t="s">
        <v>23</v>
      </c>
      <c r="AC11" s="60" t="s">
        <v>5</v>
      </c>
      <c r="AD11" s="59" t="s">
        <v>23</v>
      </c>
      <c r="AE11" s="59" t="s">
        <v>23</v>
      </c>
    </row>
    <row r="12" spans="2:31" ht="15" customHeight="1" x14ac:dyDescent="0.25">
      <c r="B12" s="2">
        <v>44690</v>
      </c>
      <c r="C12" s="112" t="s">
        <v>40</v>
      </c>
      <c r="D12" s="113">
        <v>1</v>
      </c>
      <c r="E12" s="114" t="s">
        <v>41</v>
      </c>
      <c r="F12" s="112" t="s">
        <v>9</v>
      </c>
      <c r="G12" s="112" t="s">
        <v>42</v>
      </c>
      <c r="H12" s="118" t="s">
        <v>37</v>
      </c>
      <c r="I12" s="116" t="s">
        <v>43</v>
      </c>
      <c r="J12" s="116" t="s">
        <v>44</v>
      </c>
      <c r="K12" s="117">
        <v>500</v>
      </c>
      <c r="M12" s="111"/>
      <c r="N12" s="111"/>
      <c r="O12" s="111"/>
      <c r="V12" t="str" cm="1">
        <f t="array" ref="V12">_xlfn.IFS(X8=1,"&gt;=40",X8=2,"&gt;=80",X8=3,"&gt;=120",X8=4,"&gt;=180",X8=5,"&gt;=220",X8=6,"&gt;=500",X8=7,"&gt;=900")</f>
        <v>&gt;=40</v>
      </c>
      <c r="W12" t="str" cm="1">
        <f t="array" ref="W12">_xlfn.IFS(X9=1,"&lt;=40",X9=2,"&lt;=80",X9=3,"&lt;=120",X9=4,"&lt;=180",X9=5,"&lt;=220",X9=6,"&lt;=500",X9=7,"&lt;=900")</f>
        <v>&lt;=500</v>
      </c>
      <c r="Y12" t="s">
        <v>29</v>
      </c>
      <c r="Z12" t="str" cm="1">
        <f t="array" ref="Z12">_xlfn.IFS(X8=1,"&gt;=40",X8=2,"&gt;=80",X8=3,"&gt;=120",X8=4,"&gt;=180",X8=5,"&gt;=220",X8=6,"&gt;=500",X8=7,"&gt;=900")</f>
        <v>&gt;=40</v>
      </c>
      <c r="AA12" t="str" cm="1">
        <f t="array" ref="AA12">_xlfn.IFS(X9=1,"&lt;=40",X9=2,"&lt;=80",X9=3,"&lt;=120",X9=4,"&lt;=180",X9=5,"&lt;=220",X9=6,"&lt;=500",X9=7,"&lt;=900")</f>
        <v>&lt;=500</v>
      </c>
      <c r="AC12" t="s">
        <v>9</v>
      </c>
      <c r="AD12" t="str" cm="1">
        <f t="array" ref="AD12">_xlfn.IFS(X8=1,"&gt;=40",X8=2,"&gt;=80",X8=3,"&gt;=120",X8=4,"&gt;=180",X8=5,"&gt;=220",X8=6,"&gt;=500",X8=7,"&gt;=900")</f>
        <v>&gt;=40</v>
      </c>
      <c r="AE12" t="str" cm="1">
        <f t="array" ref="AE12">_xlfn.IFS(X9=1,"&lt;=40",X9=2,"&lt;=80",X9=3,"&lt;=120",X9=4,"&lt;=180",X9=5,"&lt;=220",X9=6,"&lt;=500",X9=7,"&lt;=900")</f>
        <v>&lt;=500</v>
      </c>
    </row>
    <row r="13" spans="2:31" ht="15" customHeight="1" x14ac:dyDescent="0.25">
      <c r="B13" s="2">
        <v>44691</v>
      </c>
      <c r="C13" s="112" t="s">
        <v>40</v>
      </c>
      <c r="D13" s="113">
        <v>1</v>
      </c>
      <c r="E13" s="114" t="s">
        <v>41</v>
      </c>
      <c r="F13" s="112" t="s">
        <v>9</v>
      </c>
      <c r="G13" s="112" t="s">
        <v>42</v>
      </c>
      <c r="H13" s="118" t="s">
        <v>37</v>
      </c>
      <c r="I13" s="116" t="s">
        <v>43</v>
      </c>
      <c r="J13" s="116" t="s">
        <v>44</v>
      </c>
      <c r="K13" s="117">
        <v>500</v>
      </c>
      <c r="M13" s="111"/>
      <c r="N13" s="111"/>
      <c r="O13" s="111"/>
    </row>
    <row r="14" spans="2:31" x14ac:dyDescent="0.25">
      <c r="B14" s="2">
        <v>44692</v>
      </c>
      <c r="C14" s="112" t="s">
        <v>40</v>
      </c>
      <c r="D14" s="113">
        <v>1</v>
      </c>
      <c r="E14" s="114" t="s">
        <v>41</v>
      </c>
      <c r="F14" s="112" t="s">
        <v>9</v>
      </c>
      <c r="G14" s="112" t="s">
        <v>42</v>
      </c>
      <c r="H14" s="118" t="s">
        <v>37</v>
      </c>
      <c r="I14" s="116" t="s">
        <v>43</v>
      </c>
      <c r="J14" s="116" t="s">
        <v>44</v>
      </c>
      <c r="K14" s="117">
        <v>500</v>
      </c>
    </row>
    <row r="15" spans="2:31" ht="15" customHeight="1" x14ac:dyDescent="0.25">
      <c r="B15" s="2">
        <v>44693</v>
      </c>
      <c r="C15" s="8"/>
      <c r="D15" s="21"/>
      <c r="E15" s="19"/>
      <c r="F15" s="8"/>
      <c r="G15" s="8"/>
      <c r="H15" s="34"/>
      <c r="I15" s="6"/>
      <c r="J15" s="6"/>
      <c r="K15" s="51"/>
      <c r="M15" s="93" t="s">
        <v>10</v>
      </c>
      <c r="N15" s="94"/>
      <c r="O15" s="95"/>
    </row>
    <row r="16" spans="2:31" ht="15" customHeight="1" x14ac:dyDescent="0.25">
      <c r="B16" s="2">
        <v>44694</v>
      </c>
      <c r="C16" s="112" t="s">
        <v>40</v>
      </c>
      <c r="D16" s="113">
        <v>1</v>
      </c>
      <c r="E16" s="114" t="s">
        <v>41</v>
      </c>
      <c r="F16" s="112" t="s">
        <v>9</v>
      </c>
      <c r="G16" s="112" t="s">
        <v>42</v>
      </c>
      <c r="H16" s="118" t="s">
        <v>37</v>
      </c>
      <c r="I16" s="116" t="s">
        <v>43</v>
      </c>
      <c r="J16" s="116" t="s">
        <v>44</v>
      </c>
      <c r="K16" s="117">
        <v>500</v>
      </c>
      <c r="M16" s="96"/>
      <c r="N16" s="97"/>
      <c r="O16" s="98"/>
    </row>
    <row r="17" spans="2:15" ht="15" customHeight="1" x14ac:dyDescent="0.25">
      <c r="B17" s="2">
        <v>44695</v>
      </c>
      <c r="C17" s="112" t="s">
        <v>40</v>
      </c>
      <c r="D17" s="113">
        <v>1</v>
      </c>
      <c r="E17" s="114" t="s">
        <v>41</v>
      </c>
      <c r="F17" s="112" t="s">
        <v>9</v>
      </c>
      <c r="G17" s="112" t="s">
        <v>42</v>
      </c>
      <c r="H17" s="118" t="s">
        <v>37</v>
      </c>
      <c r="I17" s="116" t="s">
        <v>43</v>
      </c>
      <c r="J17" s="116" t="s">
        <v>44</v>
      </c>
      <c r="K17" s="117">
        <v>500</v>
      </c>
      <c r="M17" s="96"/>
      <c r="N17" s="97"/>
      <c r="O17" s="98"/>
    </row>
    <row r="18" spans="2:15" ht="15" customHeight="1" x14ac:dyDescent="0.25">
      <c r="B18" s="2">
        <v>44696</v>
      </c>
      <c r="C18" s="112" t="s">
        <v>40</v>
      </c>
      <c r="D18" s="113">
        <v>1</v>
      </c>
      <c r="E18" s="114" t="s">
        <v>41</v>
      </c>
      <c r="F18" s="112" t="s">
        <v>9</v>
      </c>
      <c r="G18" s="112" t="s">
        <v>42</v>
      </c>
      <c r="H18" s="118" t="s">
        <v>37</v>
      </c>
      <c r="I18" s="116" t="s">
        <v>43</v>
      </c>
      <c r="J18" s="116" t="s">
        <v>44</v>
      </c>
      <c r="K18" s="117">
        <v>500</v>
      </c>
      <c r="M18" s="99"/>
      <c r="N18" s="100"/>
      <c r="O18" s="101"/>
    </row>
    <row r="19" spans="2:15" x14ac:dyDescent="0.25">
      <c r="B19" s="2">
        <v>44697</v>
      </c>
      <c r="C19" s="10"/>
      <c r="D19" s="4"/>
      <c r="E19" s="20"/>
      <c r="F19" s="9"/>
      <c r="G19" s="9"/>
      <c r="H19" s="11"/>
      <c r="I19" s="6"/>
      <c r="J19" s="6"/>
      <c r="K19" s="51"/>
      <c r="M19" s="75"/>
      <c r="N19" s="90"/>
      <c r="O19" s="76"/>
    </row>
    <row r="20" spans="2:15" x14ac:dyDescent="0.25">
      <c r="B20" s="2">
        <v>44698</v>
      </c>
      <c r="C20" s="10"/>
      <c r="D20" s="4"/>
      <c r="E20" s="20"/>
      <c r="F20" s="9"/>
      <c r="G20" s="9"/>
      <c r="H20" s="11"/>
      <c r="I20" s="6"/>
      <c r="J20" s="6"/>
      <c r="K20" s="51"/>
      <c r="M20" s="77"/>
      <c r="N20" s="92"/>
      <c r="O20" s="78"/>
    </row>
    <row r="21" spans="2:15" x14ac:dyDescent="0.25">
      <c r="B21" s="2">
        <v>44699</v>
      </c>
      <c r="C21" s="10"/>
      <c r="D21" s="4"/>
      <c r="E21" s="20"/>
      <c r="F21" s="9"/>
      <c r="G21" s="9"/>
      <c r="H21" s="11"/>
      <c r="I21" s="6"/>
      <c r="J21" s="6"/>
      <c r="K21" s="51"/>
    </row>
    <row r="22" spans="2:15" ht="15" customHeight="1" x14ac:dyDescent="0.25">
      <c r="B22" s="2">
        <v>44700</v>
      </c>
      <c r="C22" s="10"/>
      <c r="D22" s="4"/>
      <c r="E22" s="20"/>
      <c r="F22" s="9"/>
      <c r="G22" s="9"/>
      <c r="H22" s="11"/>
      <c r="I22" s="6"/>
      <c r="J22" s="6"/>
      <c r="K22" s="51"/>
      <c r="M22" s="102" t="s">
        <v>1</v>
      </c>
      <c r="N22" s="103"/>
      <c r="O22" s="104"/>
    </row>
    <row r="23" spans="2:15" x14ac:dyDescent="0.25">
      <c r="B23" s="2">
        <v>44701</v>
      </c>
      <c r="C23" s="10"/>
      <c r="D23" s="4"/>
      <c r="E23" s="20"/>
      <c r="F23" s="9"/>
      <c r="G23" s="9"/>
      <c r="H23" s="11"/>
      <c r="I23" s="6"/>
      <c r="J23" s="6"/>
      <c r="K23" s="51"/>
      <c r="M23" s="105"/>
      <c r="N23" s="106"/>
      <c r="O23" s="107"/>
    </row>
    <row r="24" spans="2:15" x14ac:dyDescent="0.25">
      <c r="B24" s="2">
        <v>44702</v>
      </c>
      <c r="C24" s="10"/>
      <c r="D24" s="4"/>
      <c r="E24" s="20"/>
      <c r="F24" s="9"/>
      <c r="G24" s="9"/>
      <c r="H24" s="11"/>
      <c r="I24" s="6"/>
      <c r="J24" s="6"/>
      <c r="K24" s="51"/>
      <c r="M24" s="105"/>
      <c r="N24" s="106"/>
      <c r="O24" s="107"/>
    </row>
    <row r="25" spans="2:15" x14ac:dyDescent="0.25">
      <c r="B25" s="2">
        <v>44703</v>
      </c>
      <c r="C25" s="10"/>
      <c r="D25" s="4"/>
      <c r="E25" s="20"/>
      <c r="F25" s="9"/>
      <c r="G25" s="9"/>
      <c r="H25" s="11"/>
      <c r="I25" s="6"/>
      <c r="J25" s="6"/>
      <c r="K25" s="51"/>
      <c r="M25" s="108"/>
      <c r="N25" s="109"/>
      <c r="O25" s="110"/>
    </row>
    <row r="26" spans="2:15" x14ac:dyDescent="0.25">
      <c r="B26" s="2">
        <v>44704</v>
      </c>
      <c r="C26" s="10"/>
      <c r="D26" s="4"/>
      <c r="E26" s="20"/>
      <c r="F26" s="9"/>
      <c r="G26" s="9"/>
      <c r="H26" s="11"/>
      <c r="I26" s="6"/>
      <c r="J26" s="6"/>
      <c r="K26" s="51"/>
      <c r="M26" s="75"/>
      <c r="N26" s="90"/>
      <c r="O26" s="76"/>
    </row>
    <row r="27" spans="2:15" x14ac:dyDescent="0.25">
      <c r="B27" s="2">
        <v>44705</v>
      </c>
      <c r="C27" s="10"/>
      <c r="D27" s="4"/>
      <c r="E27" s="20"/>
      <c r="F27" s="9"/>
      <c r="G27" s="9"/>
      <c r="H27" s="11"/>
      <c r="I27" s="6"/>
      <c r="J27" s="6"/>
      <c r="K27" s="51"/>
      <c r="M27" s="77"/>
      <c r="N27" s="92"/>
      <c r="O27" s="78"/>
    </row>
    <row r="28" spans="2:15" ht="15" customHeight="1" x14ac:dyDescent="0.25">
      <c r="B28" s="2">
        <v>44706</v>
      </c>
      <c r="C28" s="10"/>
      <c r="D28" s="4"/>
      <c r="E28" s="20"/>
      <c r="F28" s="9"/>
      <c r="G28" s="9"/>
      <c r="H28" s="11"/>
      <c r="I28" s="6"/>
      <c r="J28" s="6"/>
      <c r="K28" s="51"/>
      <c r="M28" s="25" t="s">
        <v>21</v>
      </c>
      <c r="N28" s="38">
        <v>4</v>
      </c>
      <c r="O28" s="29"/>
    </row>
    <row r="29" spans="2:15" x14ac:dyDescent="0.25">
      <c r="B29" s="2">
        <v>44707</v>
      </c>
      <c r="C29" s="10"/>
      <c r="D29" s="4"/>
      <c r="E29" s="20"/>
      <c r="F29" s="9"/>
      <c r="G29" s="9"/>
      <c r="H29" s="11"/>
      <c r="I29" s="6"/>
      <c r="J29" s="6"/>
      <c r="K29" s="51"/>
      <c r="M29" s="26"/>
      <c r="N29" s="36"/>
      <c r="O29" s="30"/>
    </row>
    <row r="30" spans="2:15" x14ac:dyDescent="0.25">
      <c r="B30" s="2">
        <v>44708</v>
      </c>
      <c r="C30" s="10"/>
      <c r="D30" s="4"/>
      <c r="E30" s="20"/>
      <c r="F30" s="9"/>
      <c r="G30" s="9"/>
      <c r="H30" s="11"/>
      <c r="I30" s="6"/>
      <c r="J30" s="6"/>
      <c r="K30" s="51"/>
      <c r="M30" s="27"/>
      <c r="N30" s="39"/>
      <c r="O30" s="31"/>
    </row>
    <row r="31" spans="2:15" x14ac:dyDescent="0.25">
      <c r="B31" s="2">
        <v>44709</v>
      </c>
      <c r="C31" s="10"/>
      <c r="D31" s="4"/>
      <c r="E31" s="20"/>
      <c r="F31" s="9"/>
      <c r="G31" s="9"/>
      <c r="H31" s="53"/>
      <c r="I31" s="6"/>
      <c r="J31" s="6"/>
      <c r="K31" s="51"/>
    </row>
    <row r="32" spans="2:15" ht="15" customHeight="1" x14ac:dyDescent="0.25">
      <c r="B32" s="2">
        <v>44710</v>
      </c>
      <c r="C32" s="10"/>
      <c r="D32" s="4"/>
      <c r="E32" s="20"/>
      <c r="F32" s="9"/>
      <c r="G32" s="9"/>
      <c r="H32" s="11"/>
      <c r="I32" s="6"/>
      <c r="J32" s="6"/>
      <c r="K32" s="51"/>
      <c r="M32" s="102" t="s">
        <v>24</v>
      </c>
      <c r="N32" s="103"/>
      <c r="O32" s="104"/>
    </row>
    <row r="33" spans="2:15" x14ac:dyDescent="0.25">
      <c r="B33" s="2">
        <v>44711</v>
      </c>
      <c r="C33" s="10"/>
      <c r="D33" s="4"/>
      <c r="E33" s="20"/>
      <c r="F33" s="9"/>
      <c r="G33" s="9"/>
      <c r="H33" s="11"/>
      <c r="I33" s="6"/>
      <c r="J33" s="6"/>
      <c r="K33" s="51"/>
      <c r="M33" s="105"/>
      <c r="N33" s="106"/>
      <c r="O33" s="107"/>
    </row>
    <row r="34" spans="2:15" x14ac:dyDescent="0.25">
      <c r="B34" s="2">
        <v>44712</v>
      </c>
      <c r="C34" s="10"/>
      <c r="D34" s="4"/>
      <c r="E34" s="20"/>
      <c r="F34" s="9"/>
      <c r="G34" s="9"/>
      <c r="H34" s="11"/>
      <c r="I34" s="6"/>
      <c r="J34" s="6"/>
      <c r="K34" s="51"/>
      <c r="M34" s="105"/>
      <c r="N34" s="106"/>
      <c r="O34" s="107"/>
    </row>
    <row r="35" spans="2:15" x14ac:dyDescent="0.25">
      <c r="B35" s="2">
        <v>44713</v>
      </c>
      <c r="C35" s="10"/>
      <c r="D35" s="4"/>
      <c r="E35" s="20"/>
      <c r="F35" s="9"/>
      <c r="G35" s="9"/>
      <c r="H35" s="11"/>
      <c r="I35" s="6"/>
      <c r="J35" s="6"/>
      <c r="K35" s="51"/>
      <c r="M35" s="108"/>
      <c r="N35" s="109"/>
      <c r="O35" s="110"/>
    </row>
    <row r="36" spans="2:15" x14ac:dyDescent="0.25">
      <c r="B36" s="2">
        <v>44714</v>
      </c>
      <c r="C36" s="10"/>
      <c r="D36" s="4"/>
      <c r="E36" s="20"/>
      <c r="F36" s="9"/>
      <c r="G36" s="9"/>
      <c r="H36" s="11"/>
      <c r="I36" s="6"/>
      <c r="J36" s="6"/>
      <c r="K36" s="51"/>
      <c r="M36" s="75"/>
      <c r="N36" s="90"/>
      <c r="O36" s="76"/>
    </row>
    <row r="37" spans="2:15" x14ac:dyDescent="0.25">
      <c r="B37" s="2">
        <v>44715</v>
      </c>
      <c r="C37" s="10"/>
      <c r="D37" s="4"/>
      <c r="E37" s="20"/>
      <c r="F37" s="9"/>
      <c r="G37" s="9"/>
      <c r="H37" s="11"/>
      <c r="I37" s="6"/>
      <c r="J37" s="6"/>
      <c r="K37" s="51"/>
      <c r="M37" s="77"/>
      <c r="N37" s="92"/>
      <c r="O37" s="78"/>
    </row>
    <row r="38" spans="2:15" x14ac:dyDescent="0.25">
      <c r="B38" s="2">
        <v>44716</v>
      </c>
      <c r="C38" s="119" t="s">
        <v>53</v>
      </c>
      <c r="D38" s="120">
        <v>1</v>
      </c>
      <c r="E38" s="121" t="s">
        <v>53</v>
      </c>
      <c r="F38" s="122" t="s">
        <v>29</v>
      </c>
      <c r="G38" s="122" t="s">
        <v>54</v>
      </c>
      <c r="H38" s="123" t="s">
        <v>53</v>
      </c>
      <c r="I38" s="116" t="s">
        <v>53</v>
      </c>
      <c r="J38" s="116" t="s">
        <v>53</v>
      </c>
      <c r="K38" s="117">
        <v>80</v>
      </c>
      <c r="M38" s="75"/>
      <c r="N38" s="90"/>
      <c r="O38" s="76"/>
    </row>
    <row r="39" spans="2:15" x14ac:dyDescent="0.25">
      <c r="B39" s="2">
        <v>44717</v>
      </c>
      <c r="C39" s="119" t="s">
        <v>53</v>
      </c>
      <c r="D39" s="120">
        <v>1</v>
      </c>
      <c r="E39" s="121" t="s">
        <v>53</v>
      </c>
      <c r="F39" s="122" t="s">
        <v>29</v>
      </c>
      <c r="G39" s="122" t="s">
        <v>54</v>
      </c>
      <c r="H39" s="123" t="s">
        <v>53</v>
      </c>
      <c r="I39" s="116" t="s">
        <v>55</v>
      </c>
      <c r="J39" s="116" t="s">
        <v>53</v>
      </c>
      <c r="K39" s="117">
        <v>80</v>
      </c>
      <c r="M39" s="77"/>
      <c r="N39" s="92"/>
      <c r="O39" s="78"/>
    </row>
    <row r="40" spans="2:15" x14ac:dyDescent="0.25">
      <c r="B40" s="2">
        <v>44718</v>
      </c>
      <c r="C40" s="119" t="s">
        <v>53</v>
      </c>
      <c r="D40" s="120">
        <v>1</v>
      </c>
      <c r="E40" s="121" t="s">
        <v>53</v>
      </c>
      <c r="F40" s="122" t="s">
        <v>29</v>
      </c>
      <c r="G40" s="122" t="s">
        <v>54</v>
      </c>
      <c r="H40" s="123" t="s">
        <v>53</v>
      </c>
      <c r="I40" s="116" t="s">
        <v>53</v>
      </c>
      <c r="J40" s="116" t="s">
        <v>53</v>
      </c>
      <c r="K40" s="117">
        <v>80</v>
      </c>
    </row>
    <row r="41" spans="2:15" ht="15" customHeight="1" x14ac:dyDescent="0.25">
      <c r="B41" s="2">
        <v>44719</v>
      </c>
      <c r="C41" s="119" t="s">
        <v>53</v>
      </c>
      <c r="D41" s="120">
        <v>1</v>
      </c>
      <c r="E41" s="121" t="s">
        <v>53</v>
      </c>
      <c r="F41" s="122" t="s">
        <v>29</v>
      </c>
      <c r="G41" s="122" t="s">
        <v>54</v>
      </c>
      <c r="H41" s="123" t="s">
        <v>53</v>
      </c>
      <c r="I41" s="116" t="s">
        <v>53</v>
      </c>
      <c r="J41" s="116" t="s">
        <v>53</v>
      </c>
      <c r="K41" s="117">
        <v>80</v>
      </c>
      <c r="M41" s="69" t="s">
        <v>35</v>
      </c>
      <c r="N41" s="70"/>
    </row>
    <row r="42" spans="2:15" x14ac:dyDescent="0.25">
      <c r="B42" s="2">
        <v>44720</v>
      </c>
      <c r="C42" s="10"/>
      <c r="D42" s="4"/>
      <c r="E42" s="20"/>
      <c r="F42" s="9"/>
      <c r="G42" s="9"/>
      <c r="H42" s="56"/>
      <c r="I42" s="6"/>
      <c r="J42" s="6"/>
      <c r="K42" s="51"/>
      <c r="M42" s="71"/>
      <c r="N42" s="72"/>
    </row>
    <row r="43" spans="2:15" x14ac:dyDescent="0.25">
      <c r="B43" s="2">
        <v>44721</v>
      </c>
      <c r="C43" s="10"/>
      <c r="D43" s="4"/>
      <c r="E43" s="20"/>
      <c r="F43" s="9"/>
      <c r="G43" s="9"/>
      <c r="H43" s="56"/>
      <c r="I43" s="6"/>
      <c r="J43" s="6"/>
      <c r="K43" s="51"/>
      <c r="M43" s="71"/>
      <c r="N43" s="72"/>
    </row>
    <row r="44" spans="2:15" x14ac:dyDescent="0.25">
      <c r="B44" s="2">
        <v>44722</v>
      </c>
      <c r="C44" s="10"/>
      <c r="D44" s="4"/>
      <c r="E44" s="20"/>
      <c r="F44" s="9"/>
      <c r="G44" s="9"/>
      <c r="H44" s="56"/>
      <c r="I44" s="6"/>
      <c r="J44" s="6"/>
      <c r="K44" s="51"/>
      <c r="M44" s="71"/>
      <c r="N44" s="72"/>
    </row>
    <row r="45" spans="2:15" x14ac:dyDescent="0.25">
      <c r="B45" s="2">
        <v>44723</v>
      </c>
      <c r="C45" s="10"/>
      <c r="D45" s="4"/>
      <c r="E45" s="20"/>
      <c r="F45" s="9"/>
      <c r="G45" s="9"/>
      <c r="H45" s="56"/>
      <c r="I45" s="6"/>
      <c r="J45" s="6"/>
      <c r="K45" s="51"/>
      <c r="M45" s="73"/>
      <c r="N45" s="74"/>
    </row>
    <row r="46" spans="2:15" x14ac:dyDescent="0.25">
      <c r="B46" s="2">
        <v>44724</v>
      </c>
      <c r="C46" s="10"/>
      <c r="D46" s="4"/>
      <c r="E46" s="20"/>
      <c r="F46" s="9"/>
      <c r="G46" s="9"/>
      <c r="H46" s="56"/>
      <c r="I46" s="6"/>
      <c r="J46" s="6"/>
      <c r="K46" s="51"/>
      <c r="M46" s="75"/>
      <c r="N46" s="76"/>
    </row>
    <row r="47" spans="2:15" x14ac:dyDescent="0.25">
      <c r="B47" s="2">
        <v>44725</v>
      </c>
      <c r="C47" s="10"/>
      <c r="D47" s="4"/>
      <c r="E47" s="20"/>
      <c r="F47" s="9"/>
      <c r="G47" s="9"/>
      <c r="H47" s="56"/>
      <c r="I47" s="6"/>
      <c r="J47" s="6"/>
      <c r="K47" s="51"/>
      <c r="M47" s="77"/>
      <c r="N47" s="78"/>
    </row>
    <row r="48" spans="2:15" x14ac:dyDescent="0.25">
      <c r="B48" s="2">
        <v>44726</v>
      </c>
      <c r="C48" s="10"/>
      <c r="D48" s="4"/>
      <c r="E48" s="20"/>
      <c r="F48" s="9"/>
      <c r="G48" s="9"/>
      <c r="H48" s="56"/>
      <c r="I48" s="6"/>
      <c r="J48" s="6"/>
      <c r="K48" s="51"/>
      <c r="M48" s="75"/>
      <c r="N48" s="76"/>
    </row>
    <row r="49" spans="2:14" ht="15" customHeight="1" x14ac:dyDescent="0.25">
      <c r="B49" s="2">
        <v>44727</v>
      </c>
      <c r="C49" s="10"/>
      <c r="D49" s="4"/>
      <c r="E49" s="20"/>
      <c r="F49" s="9"/>
      <c r="G49" s="9"/>
      <c r="H49" s="56"/>
      <c r="I49" s="6"/>
      <c r="J49" s="6"/>
      <c r="K49" s="51"/>
      <c r="M49" s="79"/>
      <c r="N49" s="80"/>
    </row>
    <row r="50" spans="2:14" x14ac:dyDescent="0.25">
      <c r="B50" s="2">
        <v>44728</v>
      </c>
      <c r="C50" s="10"/>
      <c r="D50" s="4"/>
      <c r="E50" s="20"/>
      <c r="F50" s="9"/>
      <c r="G50" s="9"/>
      <c r="H50" s="56"/>
      <c r="I50" s="6"/>
      <c r="J50" s="6"/>
      <c r="K50" s="51"/>
      <c r="M50" s="79"/>
      <c r="N50" s="80"/>
    </row>
    <row r="51" spans="2:14" x14ac:dyDescent="0.25">
      <c r="B51" s="2">
        <v>44729</v>
      </c>
      <c r="C51" s="10"/>
      <c r="D51" s="4"/>
      <c r="E51" s="20"/>
      <c r="F51" s="9"/>
      <c r="G51" s="9"/>
      <c r="H51" s="56"/>
      <c r="I51" s="6"/>
      <c r="J51" s="6"/>
      <c r="K51" s="51"/>
      <c r="M51" s="77"/>
      <c r="N51" s="78"/>
    </row>
    <row r="52" spans="2:14" x14ac:dyDescent="0.25">
      <c r="B52" s="2">
        <v>44730</v>
      </c>
      <c r="C52" s="10"/>
      <c r="D52" s="4"/>
      <c r="E52" s="20"/>
      <c r="F52" s="9"/>
      <c r="G52" s="9"/>
      <c r="H52" s="56"/>
      <c r="I52" s="6"/>
      <c r="J52" s="6"/>
      <c r="K52" s="51"/>
    </row>
    <row r="53" spans="2:14" x14ac:dyDescent="0.25">
      <c r="B53" s="2">
        <v>44731</v>
      </c>
      <c r="C53" s="10"/>
      <c r="D53" s="4"/>
      <c r="E53" s="20"/>
      <c r="F53" s="9"/>
      <c r="G53" s="9"/>
      <c r="H53" s="56"/>
      <c r="I53" s="6"/>
      <c r="J53" s="6"/>
      <c r="K53" s="51"/>
      <c r="M53" s="54" t="s">
        <v>25</v>
      </c>
      <c r="N53" t="s">
        <v>28</v>
      </c>
    </row>
    <row r="54" spans="2:14" x14ac:dyDescent="0.25">
      <c r="B54" s="2">
        <v>44732</v>
      </c>
      <c r="C54" s="10"/>
      <c r="D54" s="4"/>
      <c r="E54" s="20"/>
      <c r="F54" s="9"/>
      <c r="G54" s="9"/>
      <c r="H54" s="56"/>
      <c r="I54" s="6"/>
      <c r="J54" s="6"/>
      <c r="K54" s="51"/>
      <c r="M54" s="55" t="s">
        <v>26</v>
      </c>
      <c r="N54" s="50"/>
    </row>
    <row r="55" spans="2:14" x14ac:dyDescent="0.25">
      <c r="B55" s="2">
        <v>44733</v>
      </c>
      <c r="C55" s="10"/>
      <c r="D55" s="4"/>
      <c r="E55" s="20"/>
      <c r="F55" s="9"/>
      <c r="G55" s="9"/>
      <c r="H55" s="56"/>
      <c r="I55" s="6"/>
      <c r="J55" s="6"/>
      <c r="K55" s="51"/>
      <c r="M55" s="55" t="s">
        <v>40</v>
      </c>
      <c r="N55" s="50">
        <v>3000</v>
      </c>
    </row>
    <row r="56" spans="2:14" x14ac:dyDescent="0.25">
      <c r="B56" s="2">
        <v>44734</v>
      </c>
      <c r="C56" s="10"/>
      <c r="D56" s="4"/>
      <c r="E56" s="20"/>
      <c r="F56" s="9"/>
      <c r="G56" s="9"/>
      <c r="H56" s="56"/>
      <c r="I56" s="6"/>
      <c r="J56" s="6"/>
      <c r="K56" s="51"/>
      <c r="M56" s="55" t="s">
        <v>53</v>
      </c>
      <c r="N56" s="50">
        <v>320</v>
      </c>
    </row>
    <row r="57" spans="2:14" x14ac:dyDescent="0.25">
      <c r="B57" s="2">
        <v>44735</v>
      </c>
      <c r="C57" s="10"/>
      <c r="D57" s="4"/>
      <c r="E57" s="20"/>
      <c r="F57" s="9"/>
      <c r="G57" s="9"/>
      <c r="H57" s="56"/>
      <c r="I57" s="6"/>
      <c r="J57" s="6"/>
      <c r="K57" s="51"/>
      <c r="M57" s="55" t="s">
        <v>27</v>
      </c>
      <c r="N57" s="50">
        <v>3320</v>
      </c>
    </row>
    <row r="58" spans="2:14" x14ac:dyDescent="0.25">
      <c r="B58" s="2">
        <v>44736</v>
      </c>
      <c r="C58" s="10"/>
      <c r="D58" s="4"/>
      <c r="E58" s="20"/>
      <c r="F58" s="9"/>
      <c r="G58" s="9"/>
      <c r="H58" s="56"/>
      <c r="I58" s="6"/>
      <c r="J58" s="6"/>
      <c r="K58" s="51"/>
    </row>
    <row r="59" spans="2:14" x14ac:dyDescent="0.25">
      <c r="B59" s="2">
        <v>44737</v>
      </c>
      <c r="C59" s="10"/>
      <c r="D59" s="4"/>
      <c r="E59" s="20"/>
      <c r="F59" s="9"/>
      <c r="G59" s="9"/>
      <c r="H59" s="56"/>
      <c r="I59" s="6"/>
      <c r="J59" s="6"/>
      <c r="K59" s="51"/>
    </row>
    <row r="60" spans="2:14" x14ac:dyDescent="0.25">
      <c r="B60" s="2">
        <v>44738</v>
      </c>
      <c r="C60" s="10"/>
      <c r="D60" s="4"/>
      <c r="E60" s="20"/>
      <c r="F60" s="9"/>
      <c r="G60" s="9"/>
      <c r="H60" s="56"/>
      <c r="I60" s="6"/>
      <c r="J60" s="6"/>
      <c r="K60" s="51"/>
    </row>
    <row r="61" spans="2:14" x14ac:dyDescent="0.25">
      <c r="B61" s="2">
        <v>44739</v>
      </c>
      <c r="C61" s="10"/>
      <c r="D61" s="4"/>
      <c r="E61" s="20"/>
      <c r="F61" s="9"/>
      <c r="G61" s="9"/>
      <c r="H61" s="56"/>
      <c r="I61" s="6"/>
      <c r="J61" s="6"/>
      <c r="K61" s="51"/>
    </row>
    <row r="62" spans="2:14" x14ac:dyDescent="0.25">
      <c r="B62" s="2">
        <v>44740</v>
      </c>
      <c r="C62" s="10"/>
      <c r="D62" s="4"/>
      <c r="E62" s="20"/>
      <c r="F62" s="9"/>
      <c r="G62" s="9"/>
      <c r="H62" s="56"/>
      <c r="I62" s="6"/>
      <c r="J62" s="6"/>
      <c r="K62" s="51"/>
    </row>
    <row r="63" spans="2:14" x14ac:dyDescent="0.25">
      <c r="B63" s="2">
        <v>44741</v>
      </c>
      <c r="C63" s="10"/>
      <c r="D63" s="4"/>
      <c r="E63" s="20"/>
      <c r="F63" s="9"/>
      <c r="G63" s="9"/>
      <c r="H63" s="56"/>
      <c r="I63" s="6"/>
      <c r="J63" s="6"/>
      <c r="K63" s="51"/>
    </row>
    <row r="64" spans="2:14" x14ac:dyDescent="0.25">
      <c r="B64" s="2">
        <v>44742</v>
      </c>
      <c r="C64" s="10"/>
      <c r="D64" s="4"/>
      <c r="E64" s="20"/>
      <c r="F64" s="9"/>
      <c r="G64" s="9"/>
      <c r="H64" s="56"/>
      <c r="I64" s="6"/>
      <c r="J64" s="6"/>
      <c r="K64" s="51"/>
    </row>
    <row r="65" spans="2:11" x14ac:dyDescent="0.25">
      <c r="B65" s="2">
        <v>44743</v>
      </c>
      <c r="C65" s="10"/>
      <c r="D65" s="4"/>
      <c r="E65" s="20"/>
      <c r="F65" s="9"/>
      <c r="G65" s="9"/>
      <c r="H65" s="56"/>
      <c r="I65" s="6"/>
      <c r="J65" s="6"/>
      <c r="K65" s="51"/>
    </row>
    <row r="66" spans="2:11" x14ac:dyDescent="0.25">
      <c r="B66" s="2">
        <v>44744</v>
      </c>
      <c r="C66" s="10"/>
      <c r="D66" s="4"/>
      <c r="E66" s="20"/>
      <c r="F66" s="9"/>
      <c r="G66" s="9"/>
      <c r="H66" s="56"/>
      <c r="I66" s="6"/>
      <c r="J66" s="6"/>
      <c r="K66" s="51"/>
    </row>
    <row r="67" spans="2:11" x14ac:dyDescent="0.25">
      <c r="B67" s="2">
        <v>44745</v>
      </c>
      <c r="C67" s="10"/>
      <c r="D67" s="4"/>
      <c r="E67" s="20"/>
      <c r="F67" s="9"/>
      <c r="G67" s="9"/>
      <c r="H67" s="56"/>
      <c r="I67" s="6"/>
      <c r="J67" s="6"/>
      <c r="K67" s="51"/>
    </row>
    <row r="68" spans="2:11" x14ac:dyDescent="0.25">
      <c r="B68" s="2">
        <v>44746</v>
      </c>
      <c r="C68" s="10"/>
      <c r="D68" s="4"/>
      <c r="E68" s="20"/>
      <c r="F68" s="9"/>
      <c r="G68" s="9"/>
      <c r="H68" s="56"/>
      <c r="I68" s="6"/>
      <c r="J68" s="6"/>
      <c r="K68" s="51"/>
    </row>
    <row r="69" spans="2:11" x14ac:dyDescent="0.25">
      <c r="B69" s="2">
        <v>44747</v>
      </c>
      <c r="C69" s="10"/>
      <c r="D69" s="4"/>
      <c r="E69" s="20"/>
      <c r="F69" s="9"/>
      <c r="G69" s="9"/>
      <c r="H69" s="56"/>
      <c r="I69" s="6"/>
      <c r="J69" s="6"/>
      <c r="K69" s="51"/>
    </row>
    <row r="70" spans="2:11" x14ac:dyDescent="0.25">
      <c r="B70" s="2">
        <v>44748</v>
      </c>
      <c r="C70" s="10"/>
      <c r="D70" s="4"/>
      <c r="E70" s="20"/>
      <c r="F70" s="9"/>
      <c r="G70" s="9"/>
      <c r="H70" s="56"/>
      <c r="I70" s="6"/>
      <c r="J70" s="6"/>
      <c r="K70" s="51"/>
    </row>
    <row r="71" spans="2:11" x14ac:dyDescent="0.25">
      <c r="B71" s="2">
        <v>44749</v>
      </c>
      <c r="C71" s="10"/>
      <c r="D71" s="4"/>
      <c r="E71" s="20"/>
      <c r="F71" s="9"/>
      <c r="G71" s="9"/>
      <c r="H71" s="56"/>
      <c r="I71" s="6"/>
      <c r="J71" s="6"/>
      <c r="K71" s="51"/>
    </row>
    <row r="72" spans="2:11" x14ac:dyDescent="0.25">
      <c r="B72" s="2">
        <v>44750</v>
      </c>
      <c r="C72" s="10"/>
      <c r="D72" s="4"/>
      <c r="E72" s="20"/>
      <c r="F72" s="9"/>
      <c r="G72" s="9"/>
      <c r="H72" s="56"/>
      <c r="I72" s="6"/>
      <c r="J72" s="6"/>
      <c r="K72" s="51"/>
    </row>
    <row r="73" spans="2:11" x14ac:dyDescent="0.25">
      <c r="B73" s="2">
        <v>44751</v>
      </c>
      <c r="C73" s="10"/>
      <c r="D73" s="4"/>
      <c r="E73" s="20"/>
      <c r="F73" s="9"/>
      <c r="G73" s="9"/>
      <c r="H73" s="56"/>
      <c r="I73" s="6"/>
      <c r="J73" s="6"/>
      <c r="K73" s="51"/>
    </row>
    <row r="74" spans="2:11" x14ac:dyDescent="0.25">
      <c r="B74" s="2">
        <v>44752</v>
      </c>
      <c r="C74" s="10"/>
      <c r="D74" s="4"/>
      <c r="E74" s="20"/>
      <c r="F74" s="9"/>
      <c r="G74" s="9"/>
      <c r="H74" s="56"/>
      <c r="I74" s="6"/>
      <c r="J74" s="6"/>
      <c r="K74" s="51"/>
    </row>
    <row r="75" spans="2:11" x14ac:dyDescent="0.25">
      <c r="B75" s="2">
        <v>44753</v>
      </c>
      <c r="C75" s="10"/>
      <c r="D75" s="4"/>
      <c r="E75" s="20"/>
      <c r="F75" s="9"/>
      <c r="G75" s="9"/>
      <c r="H75" s="56"/>
      <c r="I75" s="6"/>
      <c r="J75" s="6"/>
      <c r="K75" s="51"/>
    </row>
    <row r="76" spans="2:11" x14ac:dyDescent="0.25">
      <c r="B76" s="2">
        <v>44754</v>
      </c>
      <c r="C76" s="10"/>
      <c r="D76" s="4"/>
      <c r="E76" s="20"/>
      <c r="F76" s="9"/>
      <c r="G76" s="9"/>
      <c r="H76" s="56"/>
      <c r="I76" s="6"/>
      <c r="J76" s="6"/>
      <c r="K76" s="51"/>
    </row>
    <row r="77" spans="2:11" x14ac:dyDescent="0.25">
      <c r="B77" s="2">
        <v>44755</v>
      </c>
      <c r="C77" s="10"/>
      <c r="D77" s="4"/>
      <c r="E77" s="20"/>
      <c r="F77" s="9"/>
      <c r="G77" s="9"/>
      <c r="H77" s="56"/>
      <c r="I77" s="6"/>
      <c r="J77" s="6"/>
      <c r="K77" s="51"/>
    </row>
    <row r="78" spans="2:11" x14ac:dyDescent="0.25">
      <c r="B78" s="2">
        <v>44756</v>
      </c>
      <c r="C78" s="10"/>
      <c r="D78" s="4"/>
      <c r="E78" s="20"/>
      <c r="F78" s="9"/>
      <c r="G78" s="9"/>
      <c r="H78" s="56"/>
      <c r="I78" s="6"/>
      <c r="J78" s="6"/>
      <c r="K78" s="51"/>
    </row>
    <row r="79" spans="2:11" x14ac:dyDescent="0.25">
      <c r="B79" s="2">
        <v>44757</v>
      </c>
      <c r="C79" s="10"/>
      <c r="D79" s="4"/>
      <c r="E79" s="20"/>
      <c r="F79" s="9"/>
      <c r="G79" s="9"/>
      <c r="H79" s="56"/>
      <c r="I79" s="6"/>
      <c r="J79" s="6"/>
      <c r="K79" s="51"/>
    </row>
    <row r="80" spans="2:11" x14ac:dyDescent="0.25">
      <c r="B80" s="2">
        <v>44758</v>
      </c>
      <c r="C80" s="10"/>
      <c r="D80" s="4"/>
      <c r="E80" s="20"/>
      <c r="F80" s="9"/>
      <c r="G80" s="9"/>
      <c r="H80" s="56"/>
      <c r="I80" s="6"/>
      <c r="J80" s="6"/>
      <c r="K80" s="51"/>
    </row>
    <row r="81" spans="2:11" x14ac:dyDescent="0.25">
      <c r="B81" s="2">
        <v>44759</v>
      </c>
      <c r="C81" s="10"/>
      <c r="D81" s="4"/>
      <c r="E81" s="20"/>
      <c r="F81" s="9"/>
      <c r="G81" s="9"/>
      <c r="H81" s="56"/>
      <c r="I81" s="6"/>
      <c r="J81" s="6"/>
      <c r="K81" s="51"/>
    </row>
    <row r="82" spans="2:11" x14ac:dyDescent="0.25">
      <c r="B82" s="2">
        <v>44760</v>
      </c>
      <c r="C82" s="10"/>
      <c r="D82" s="4"/>
      <c r="E82" s="20"/>
      <c r="F82" s="9"/>
      <c r="G82" s="9"/>
      <c r="H82" s="56"/>
      <c r="I82" s="6"/>
      <c r="J82" s="6"/>
      <c r="K82" s="51"/>
    </row>
    <row r="83" spans="2:11" x14ac:dyDescent="0.25">
      <c r="B83" s="2">
        <v>44761</v>
      </c>
      <c r="C83" s="10"/>
      <c r="D83" s="4"/>
      <c r="E83" s="20"/>
      <c r="F83" s="9"/>
      <c r="G83" s="9"/>
      <c r="H83" s="56"/>
      <c r="I83" s="6"/>
      <c r="J83" s="6"/>
      <c r="K83" s="51"/>
    </row>
    <row r="84" spans="2:11" x14ac:dyDescent="0.25">
      <c r="B84" s="2">
        <v>44762</v>
      </c>
      <c r="C84" s="10"/>
      <c r="D84" s="4"/>
      <c r="E84" s="20"/>
      <c r="F84" s="9"/>
      <c r="G84" s="9"/>
      <c r="H84" s="56"/>
      <c r="I84" s="6"/>
      <c r="J84" s="6"/>
      <c r="K84" s="51"/>
    </row>
    <row r="85" spans="2:11" x14ac:dyDescent="0.25">
      <c r="B85" s="2">
        <v>44763</v>
      </c>
      <c r="C85" s="10"/>
      <c r="D85" s="4"/>
      <c r="E85" s="20"/>
      <c r="F85" s="9"/>
      <c r="G85" s="9"/>
      <c r="H85" s="56"/>
      <c r="I85" s="6"/>
      <c r="J85" s="6"/>
      <c r="K85" s="51"/>
    </row>
    <row r="86" spans="2:11" x14ac:dyDescent="0.25">
      <c r="B86" s="2">
        <v>44764</v>
      </c>
      <c r="C86" s="10"/>
      <c r="D86" s="4"/>
      <c r="E86" s="20"/>
      <c r="F86" s="9"/>
      <c r="G86" s="9"/>
      <c r="H86" s="56"/>
      <c r="I86" s="6"/>
      <c r="J86" s="6"/>
      <c r="K86" s="51"/>
    </row>
    <row r="87" spans="2:11" x14ac:dyDescent="0.25">
      <c r="B87" s="2">
        <v>44765</v>
      </c>
      <c r="C87" s="10"/>
      <c r="D87" s="4"/>
      <c r="E87" s="20"/>
      <c r="F87" s="9"/>
      <c r="G87" s="9"/>
      <c r="H87" s="56"/>
      <c r="I87" s="6"/>
      <c r="J87" s="6"/>
      <c r="K87" s="51"/>
    </row>
    <row r="88" spans="2:11" x14ac:dyDescent="0.25">
      <c r="B88" s="2">
        <v>44766</v>
      </c>
      <c r="C88" s="10"/>
      <c r="D88" s="4"/>
      <c r="E88" s="20"/>
      <c r="F88" s="9"/>
      <c r="G88" s="9"/>
      <c r="H88" s="56"/>
      <c r="I88" s="6"/>
      <c r="J88" s="6"/>
      <c r="K88" s="51"/>
    </row>
    <row r="89" spans="2:11" x14ac:dyDescent="0.25">
      <c r="B89" s="2">
        <v>44767</v>
      </c>
      <c r="C89" s="10"/>
      <c r="D89" s="4"/>
      <c r="E89" s="20"/>
      <c r="F89" s="9"/>
      <c r="G89" s="9"/>
      <c r="H89" s="56"/>
      <c r="I89" s="6"/>
      <c r="J89" s="6"/>
      <c r="K89" s="51"/>
    </row>
    <row r="90" spans="2:11" x14ac:dyDescent="0.25">
      <c r="B90" s="2">
        <v>44768</v>
      </c>
      <c r="C90" s="10"/>
      <c r="D90" s="4"/>
      <c r="E90" s="20"/>
      <c r="F90" s="9"/>
      <c r="G90" s="9"/>
      <c r="H90" s="56"/>
      <c r="I90" s="6"/>
      <c r="J90" s="6"/>
      <c r="K90" s="51"/>
    </row>
    <row r="91" spans="2:11" x14ac:dyDescent="0.25">
      <c r="B91" s="2">
        <v>44769</v>
      </c>
      <c r="C91" s="10"/>
      <c r="D91" s="4"/>
      <c r="E91" s="20"/>
      <c r="F91" s="9"/>
      <c r="G91" s="9"/>
      <c r="H91" s="56"/>
      <c r="I91" s="6"/>
      <c r="J91" s="6"/>
      <c r="K91" s="51"/>
    </row>
    <row r="92" spans="2:11" x14ac:dyDescent="0.25">
      <c r="B92" s="2">
        <v>44770</v>
      </c>
      <c r="C92" s="10"/>
      <c r="D92" s="4"/>
      <c r="E92" s="20"/>
      <c r="F92" s="9"/>
      <c r="G92" s="9"/>
      <c r="H92" s="56"/>
      <c r="I92" s="6"/>
      <c r="J92" s="6"/>
      <c r="K92" s="51"/>
    </row>
    <row r="93" spans="2:11" x14ac:dyDescent="0.25">
      <c r="B93" s="2">
        <v>44771</v>
      </c>
      <c r="C93" s="10"/>
      <c r="D93" s="4"/>
      <c r="E93" s="20"/>
      <c r="F93" s="9"/>
      <c r="G93" s="9"/>
      <c r="H93" s="56"/>
      <c r="I93" s="6"/>
      <c r="J93" s="6"/>
      <c r="K93" s="51"/>
    </row>
    <row r="94" spans="2:11" x14ac:dyDescent="0.25">
      <c r="B94" s="2">
        <v>44772</v>
      </c>
      <c r="C94" s="10"/>
      <c r="D94" s="4"/>
      <c r="E94" s="20"/>
      <c r="F94" s="9"/>
      <c r="G94" s="9"/>
      <c r="H94" s="56"/>
      <c r="I94" s="6"/>
      <c r="J94" s="6"/>
      <c r="K94" s="51"/>
    </row>
    <row r="95" spans="2:11" x14ac:dyDescent="0.25">
      <c r="B95" s="2">
        <v>44773</v>
      </c>
      <c r="C95" s="10"/>
      <c r="D95" s="4"/>
      <c r="E95" s="20"/>
      <c r="F95" s="9"/>
      <c r="G95" s="9"/>
      <c r="H95" s="56"/>
      <c r="I95" s="6"/>
      <c r="J95" s="6"/>
      <c r="K95" s="51"/>
    </row>
    <row r="96" spans="2:11" x14ac:dyDescent="0.25">
      <c r="B96" s="2">
        <v>44774</v>
      </c>
      <c r="C96" s="10"/>
      <c r="D96" s="4"/>
      <c r="E96" s="20"/>
      <c r="F96" s="9"/>
      <c r="G96" s="9"/>
      <c r="H96" s="56"/>
      <c r="I96" s="6"/>
      <c r="J96" s="6"/>
      <c r="K96" s="51"/>
    </row>
    <row r="97" spans="2:11" x14ac:dyDescent="0.25">
      <c r="B97" s="2">
        <v>44775</v>
      </c>
      <c r="C97" s="10"/>
      <c r="D97" s="4"/>
      <c r="E97" s="20"/>
      <c r="F97" s="9"/>
      <c r="G97" s="9"/>
      <c r="H97" s="56"/>
      <c r="I97" s="6"/>
      <c r="J97" s="6"/>
      <c r="K97" s="51"/>
    </row>
    <row r="98" spans="2:11" x14ac:dyDescent="0.25">
      <c r="B98" s="2">
        <v>44776</v>
      </c>
      <c r="C98" s="10"/>
      <c r="D98" s="4"/>
      <c r="E98" s="20"/>
      <c r="F98" s="9"/>
      <c r="G98" s="9"/>
      <c r="H98" s="56"/>
      <c r="I98" s="6"/>
      <c r="J98" s="6"/>
      <c r="K98" s="51"/>
    </row>
    <row r="99" spans="2:11" x14ac:dyDescent="0.25">
      <c r="B99" s="2">
        <v>44777</v>
      </c>
      <c r="C99" s="10"/>
      <c r="D99" s="4"/>
      <c r="E99" s="20"/>
      <c r="F99" s="9"/>
      <c r="G99" s="9"/>
      <c r="H99" s="56"/>
      <c r="I99" s="6"/>
      <c r="J99" s="6"/>
      <c r="K99" s="51"/>
    </row>
    <row r="100" spans="2:11" x14ac:dyDescent="0.25">
      <c r="B100" s="2">
        <v>44778</v>
      </c>
      <c r="C100" s="10"/>
      <c r="D100" s="4"/>
      <c r="E100" s="20"/>
      <c r="F100" s="9"/>
      <c r="G100" s="9"/>
      <c r="H100" s="56"/>
      <c r="I100" s="6"/>
      <c r="J100" s="6"/>
      <c r="K100" s="51"/>
    </row>
    <row r="101" spans="2:11" x14ac:dyDescent="0.25">
      <c r="B101" s="2">
        <v>44779</v>
      </c>
      <c r="C101" s="10"/>
      <c r="D101" s="4"/>
      <c r="E101" s="20"/>
      <c r="F101" s="9"/>
      <c r="G101" s="9"/>
      <c r="H101" s="56"/>
      <c r="I101" s="6"/>
      <c r="J101" s="6"/>
      <c r="K101" s="51"/>
    </row>
    <row r="102" spans="2:11" x14ac:dyDescent="0.25">
      <c r="B102" s="2">
        <v>44780</v>
      </c>
      <c r="C102" s="10"/>
      <c r="D102" s="4"/>
      <c r="E102" s="20"/>
      <c r="F102" s="9"/>
      <c r="G102" s="9"/>
      <c r="H102" s="56"/>
      <c r="I102" s="6"/>
      <c r="J102" s="6"/>
      <c r="K102" s="51"/>
    </row>
    <row r="103" spans="2:11" x14ac:dyDescent="0.25">
      <c r="B103" s="2">
        <v>44781</v>
      </c>
      <c r="C103" s="10"/>
      <c r="D103" s="4"/>
      <c r="E103" s="20"/>
      <c r="F103" s="9"/>
      <c r="G103" s="9"/>
      <c r="H103" s="56"/>
      <c r="I103" s="6"/>
      <c r="J103" s="6"/>
      <c r="K103" s="51"/>
    </row>
    <row r="104" spans="2:11" x14ac:dyDescent="0.25">
      <c r="B104" s="2">
        <v>44782</v>
      </c>
      <c r="C104" s="10"/>
      <c r="D104" s="4"/>
      <c r="E104" s="20"/>
      <c r="F104" s="9"/>
      <c r="G104" s="9"/>
      <c r="H104" s="56"/>
      <c r="I104" s="6"/>
      <c r="J104" s="6"/>
      <c r="K104" s="51"/>
    </row>
    <row r="105" spans="2:11" x14ac:dyDescent="0.25">
      <c r="B105" s="2">
        <v>44783</v>
      </c>
      <c r="C105" s="10"/>
      <c r="D105" s="4"/>
      <c r="E105" s="20"/>
      <c r="F105" s="9"/>
      <c r="G105" s="9"/>
      <c r="H105" s="56"/>
      <c r="I105" s="6"/>
      <c r="J105" s="6"/>
      <c r="K105" s="51"/>
    </row>
    <row r="106" spans="2:11" x14ac:dyDescent="0.25">
      <c r="B106" s="2">
        <v>44784</v>
      </c>
      <c r="C106" s="10"/>
      <c r="D106" s="4"/>
      <c r="E106" s="20"/>
      <c r="F106" s="9"/>
      <c r="G106" s="9"/>
      <c r="H106" s="56"/>
      <c r="I106" s="6"/>
      <c r="J106" s="6"/>
      <c r="K106" s="51"/>
    </row>
    <row r="107" spans="2:11" x14ac:dyDescent="0.25">
      <c r="B107" s="2">
        <v>44785</v>
      </c>
      <c r="C107" s="10"/>
      <c r="D107" s="4"/>
      <c r="E107" s="20"/>
      <c r="F107" s="9"/>
      <c r="G107" s="9"/>
      <c r="H107" s="56"/>
      <c r="I107" s="6"/>
      <c r="J107" s="6"/>
      <c r="K107" s="51"/>
    </row>
    <row r="108" spans="2:11" x14ac:dyDescent="0.25">
      <c r="B108" s="2">
        <v>44786</v>
      </c>
      <c r="C108" s="10"/>
      <c r="D108" s="4"/>
      <c r="E108" s="20"/>
      <c r="F108" s="9"/>
      <c r="G108" s="9"/>
      <c r="H108" s="56"/>
      <c r="I108" s="6"/>
      <c r="J108" s="6"/>
      <c r="K108" s="51"/>
    </row>
    <row r="109" spans="2:11" x14ac:dyDescent="0.25">
      <c r="B109" s="2">
        <v>44787</v>
      </c>
      <c r="C109" s="10"/>
      <c r="D109" s="4"/>
      <c r="E109" s="20"/>
      <c r="F109" s="9"/>
      <c r="G109" s="9"/>
      <c r="H109" s="56"/>
      <c r="I109" s="6"/>
      <c r="J109" s="6"/>
      <c r="K109" s="51"/>
    </row>
    <row r="110" spans="2:11" x14ac:dyDescent="0.25">
      <c r="B110" s="2">
        <v>44788</v>
      </c>
      <c r="C110" s="10"/>
      <c r="D110" s="4"/>
      <c r="E110" s="20"/>
      <c r="F110" s="9"/>
      <c r="G110" s="9"/>
      <c r="H110" s="56"/>
      <c r="I110" s="6"/>
      <c r="J110" s="6"/>
      <c r="K110" s="51"/>
    </row>
    <row r="111" spans="2:11" x14ac:dyDescent="0.25">
      <c r="B111" s="2">
        <v>44789</v>
      </c>
      <c r="C111" s="10"/>
      <c r="D111" s="4"/>
      <c r="E111" s="20"/>
      <c r="F111" s="9"/>
      <c r="G111" s="9"/>
      <c r="H111" s="56"/>
      <c r="I111" s="6"/>
      <c r="J111" s="6"/>
      <c r="K111" s="51"/>
    </row>
    <row r="112" spans="2:11" x14ac:dyDescent="0.25">
      <c r="B112" s="2">
        <v>44790</v>
      </c>
      <c r="C112" s="10"/>
      <c r="D112" s="4"/>
      <c r="E112" s="20"/>
      <c r="F112" s="9"/>
      <c r="G112" s="9"/>
      <c r="H112" s="56"/>
      <c r="I112" s="6"/>
      <c r="J112" s="6"/>
      <c r="K112" s="51"/>
    </row>
    <row r="113" spans="2:11" x14ac:dyDescent="0.25">
      <c r="B113" s="2">
        <v>44791</v>
      </c>
      <c r="C113" s="10"/>
      <c r="D113" s="4"/>
      <c r="E113" s="20"/>
      <c r="F113" s="9"/>
      <c r="G113" s="9"/>
      <c r="H113" s="56"/>
      <c r="I113" s="6"/>
      <c r="J113" s="6"/>
      <c r="K113" s="51"/>
    </row>
    <row r="114" spans="2:11" x14ac:dyDescent="0.25">
      <c r="B114" s="2">
        <v>44792</v>
      </c>
      <c r="C114" s="10"/>
      <c r="D114" s="4"/>
      <c r="E114" s="20"/>
      <c r="F114" s="9"/>
      <c r="G114" s="9"/>
      <c r="H114" s="56"/>
      <c r="I114" s="6"/>
      <c r="J114" s="6"/>
      <c r="K114" s="51"/>
    </row>
    <row r="115" spans="2:11" x14ac:dyDescent="0.25">
      <c r="B115" s="2">
        <v>44793</v>
      </c>
      <c r="C115" s="10"/>
      <c r="D115" s="4"/>
      <c r="E115" s="20"/>
      <c r="F115" s="9"/>
      <c r="G115" s="9"/>
      <c r="H115" s="56"/>
      <c r="I115" s="6"/>
      <c r="J115" s="6"/>
      <c r="K115" s="51"/>
    </row>
    <row r="116" spans="2:11" x14ac:dyDescent="0.25">
      <c r="B116" s="2">
        <v>44794</v>
      </c>
      <c r="C116" s="10"/>
      <c r="D116" s="4"/>
      <c r="E116" s="20"/>
      <c r="F116" s="9"/>
      <c r="G116" s="9"/>
      <c r="H116" s="56"/>
      <c r="I116" s="6"/>
      <c r="J116" s="6"/>
      <c r="K116" s="51"/>
    </row>
    <row r="117" spans="2:11" x14ac:dyDescent="0.25">
      <c r="B117" s="2">
        <v>44795</v>
      </c>
      <c r="C117" s="10"/>
      <c r="D117" s="4"/>
      <c r="E117" s="20"/>
      <c r="F117" s="9"/>
      <c r="G117" s="9"/>
      <c r="H117" s="56"/>
      <c r="I117" s="6"/>
      <c r="J117" s="6"/>
      <c r="K117" s="51"/>
    </row>
    <row r="118" spans="2:11" x14ac:dyDescent="0.25">
      <c r="B118" s="2">
        <v>44796</v>
      </c>
      <c r="C118" s="10"/>
      <c r="D118" s="4"/>
      <c r="E118" s="20"/>
      <c r="F118" s="9"/>
      <c r="G118" s="9"/>
      <c r="H118" s="56"/>
      <c r="I118" s="6"/>
      <c r="J118" s="6"/>
      <c r="K118" s="51"/>
    </row>
    <row r="119" spans="2:11" x14ac:dyDescent="0.25">
      <c r="B119" s="2">
        <v>44797</v>
      </c>
      <c r="C119" s="10"/>
      <c r="D119" s="4"/>
      <c r="E119" s="20"/>
      <c r="F119" s="9"/>
      <c r="G119" s="9"/>
      <c r="H119" s="56"/>
      <c r="I119" s="6"/>
      <c r="J119" s="6"/>
      <c r="K119" s="51"/>
    </row>
    <row r="120" spans="2:11" x14ac:dyDescent="0.25">
      <c r="B120" s="2">
        <v>44798</v>
      </c>
      <c r="C120" s="10"/>
      <c r="D120" s="4"/>
      <c r="E120" s="20"/>
      <c r="F120" s="9"/>
      <c r="G120" s="9"/>
      <c r="H120" s="56"/>
      <c r="I120" s="6"/>
      <c r="J120" s="6"/>
      <c r="K120" s="51"/>
    </row>
    <row r="121" spans="2:11" x14ac:dyDescent="0.25">
      <c r="B121" s="2">
        <v>44799</v>
      </c>
      <c r="C121" s="10"/>
      <c r="D121" s="4"/>
      <c r="E121" s="20"/>
      <c r="F121" s="9"/>
      <c r="G121" s="9"/>
      <c r="H121" s="56"/>
      <c r="I121" s="6"/>
      <c r="J121" s="6"/>
      <c r="K121" s="51"/>
    </row>
    <row r="122" spans="2:11" x14ac:dyDescent="0.25">
      <c r="B122" s="2">
        <v>44800</v>
      </c>
      <c r="C122" s="10"/>
      <c r="D122" s="4"/>
      <c r="E122" s="20"/>
      <c r="F122" s="9"/>
      <c r="G122" s="9"/>
      <c r="H122" s="56"/>
      <c r="I122" s="6"/>
      <c r="J122" s="6"/>
      <c r="K122" s="51"/>
    </row>
    <row r="123" spans="2:11" x14ac:dyDescent="0.25">
      <c r="B123" s="2">
        <v>44801</v>
      </c>
      <c r="C123" s="10"/>
      <c r="D123" s="4"/>
      <c r="E123" s="20"/>
      <c r="F123" s="9"/>
      <c r="G123" s="9"/>
      <c r="H123" s="56"/>
      <c r="I123" s="6"/>
      <c r="J123" s="6"/>
      <c r="K123" s="51"/>
    </row>
    <row r="124" spans="2:11" x14ac:dyDescent="0.25">
      <c r="B124" s="2">
        <v>44802</v>
      </c>
      <c r="C124" s="10"/>
      <c r="D124" s="4"/>
      <c r="E124" s="20"/>
      <c r="F124" s="9"/>
      <c r="G124" s="9"/>
      <c r="H124" s="56"/>
      <c r="I124" s="6"/>
      <c r="J124" s="6"/>
      <c r="K124" s="51"/>
    </row>
    <row r="125" spans="2:11" x14ac:dyDescent="0.25">
      <c r="B125" s="2">
        <v>44803</v>
      </c>
      <c r="C125" s="10"/>
      <c r="D125" s="4"/>
      <c r="E125" s="20"/>
      <c r="F125" s="9"/>
      <c r="G125" s="9"/>
      <c r="H125" s="56"/>
      <c r="I125" s="6"/>
      <c r="J125" s="6"/>
      <c r="K125" s="51"/>
    </row>
    <row r="126" spans="2:11" x14ac:dyDescent="0.25">
      <c r="B126" s="2">
        <v>44804</v>
      </c>
      <c r="C126" s="10"/>
      <c r="D126" s="4"/>
      <c r="E126" s="20"/>
      <c r="F126" s="9"/>
      <c r="G126" s="9"/>
      <c r="H126" s="56"/>
      <c r="I126" s="6"/>
      <c r="J126" s="6"/>
      <c r="K126" s="51"/>
    </row>
    <row r="127" spans="2:11" x14ac:dyDescent="0.25">
      <c r="B127" s="2">
        <v>44805</v>
      </c>
      <c r="C127" s="10"/>
      <c r="D127" s="4"/>
      <c r="E127" s="20"/>
      <c r="F127" s="9"/>
      <c r="G127" s="9"/>
      <c r="H127" s="56"/>
      <c r="I127" s="6"/>
      <c r="J127" s="6"/>
      <c r="K127" s="51"/>
    </row>
    <row r="128" spans="2:11" x14ac:dyDescent="0.25">
      <c r="B128" s="2">
        <v>44806</v>
      </c>
      <c r="C128" s="10"/>
      <c r="D128" s="4"/>
      <c r="E128" s="20"/>
      <c r="F128" s="9"/>
      <c r="G128" s="9"/>
      <c r="H128" s="56"/>
      <c r="I128" s="6"/>
      <c r="J128" s="6"/>
      <c r="K128" s="51"/>
    </row>
    <row r="129" spans="2:11" x14ac:dyDescent="0.25">
      <c r="B129" s="2">
        <v>44807</v>
      </c>
      <c r="C129" s="10"/>
      <c r="D129" s="4"/>
      <c r="E129" s="20"/>
      <c r="F129" s="9"/>
      <c r="G129" s="9"/>
      <c r="H129" s="56"/>
      <c r="I129" s="6"/>
      <c r="J129" s="6"/>
      <c r="K129" s="51"/>
    </row>
    <row r="130" spans="2:11" x14ac:dyDescent="0.25">
      <c r="B130" s="2">
        <v>44808</v>
      </c>
      <c r="C130" s="10"/>
      <c r="D130" s="4"/>
      <c r="E130" s="20"/>
      <c r="F130" s="9"/>
      <c r="G130" s="9"/>
      <c r="H130" s="56"/>
      <c r="I130" s="6"/>
      <c r="J130" s="6"/>
      <c r="K130" s="51"/>
    </row>
    <row r="131" spans="2:11" x14ac:dyDescent="0.25">
      <c r="B131" s="2">
        <v>44809</v>
      </c>
      <c r="C131" s="10"/>
      <c r="D131" s="4"/>
      <c r="E131" s="20"/>
      <c r="F131" s="9"/>
      <c r="G131" s="9"/>
      <c r="H131" s="56"/>
      <c r="I131" s="6"/>
      <c r="J131" s="6"/>
      <c r="K131" s="51"/>
    </row>
    <row r="132" spans="2:11" x14ac:dyDescent="0.25">
      <c r="B132" s="2">
        <v>44810</v>
      </c>
      <c r="C132" s="10"/>
      <c r="D132" s="4"/>
      <c r="E132" s="20"/>
      <c r="F132" s="9"/>
      <c r="G132" s="9"/>
      <c r="H132" s="56"/>
      <c r="I132" s="6"/>
      <c r="J132" s="6"/>
      <c r="K132" s="51"/>
    </row>
    <row r="133" spans="2:11" x14ac:dyDescent="0.25">
      <c r="B133" s="2">
        <v>44811</v>
      </c>
      <c r="C133" s="10"/>
      <c r="D133" s="4"/>
      <c r="E133" s="20"/>
      <c r="F133" s="9"/>
      <c r="G133" s="9"/>
      <c r="H133" s="56"/>
      <c r="I133" s="6"/>
      <c r="J133" s="6"/>
      <c r="K133" s="51"/>
    </row>
    <row r="134" spans="2:11" x14ac:dyDescent="0.25">
      <c r="B134" s="2">
        <v>44812</v>
      </c>
      <c r="C134" s="10"/>
      <c r="D134" s="4"/>
      <c r="E134" s="20"/>
      <c r="F134" s="9"/>
      <c r="G134" s="9"/>
      <c r="H134" s="56"/>
      <c r="I134" s="6"/>
      <c r="J134" s="6"/>
      <c r="K134" s="51"/>
    </row>
    <row r="135" spans="2:11" x14ac:dyDescent="0.25">
      <c r="B135" s="2">
        <v>44813</v>
      </c>
      <c r="C135" s="10"/>
      <c r="D135" s="4"/>
      <c r="E135" s="20"/>
      <c r="F135" s="9"/>
      <c r="G135" s="9"/>
      <c r="H135" s="56"/>
      <c r="I135" s="6"/>
      <c r="J135" s="6"/>
      <c r="K135" s="51"/>
    </row>
    <row r="136" spans="2:11" x14ac:dyDescent="0.25">
      <c r="B136" s="2">
        <v>44814</v>
      </c>
      <c r="C136" s="10"/>
      <c r="D136" s="4"/>
      <c r="E136" s="20"/>
      <c r="F136" s="9"/>
      <c r="G136" s="9"/>
      <c r="H136" s="56"/>
      <c r="I136" s="6"/>
      <c r="J136" s="6"/>
      <c r="K136" s="51"/>
    </row>
    <row r="137" spans="2:11" x14ac:dyDescent="0.25">
      <c r="B137" s="2">
        <v>44815</v>
      </c>
      <c r="C137" s="10"/>
      <c r="D137" s="4"/>
      <c r="E137" s="20"/>
      <c r="F137" s="9"/>
      <c r="G137" s="9"/>
      <c r="H137" s="56"/>
      <c r="I137" s="6"/>
      <c r="J137" s="6"/>
      <c r="K137" s="51"/>
    </row>
    <row r="138" spans="2:11" x14ac:dyDescent="0.25">
      <c r="B138" s="2">
        <v>44816</v>
      </c>
      <c r="C138" s="10"/>
      <c r="D138" s="4"/>
      <c r="E138" s="20"/>
      <c r="F138" s="9"/>
      <c r="G138" s="9"/>
      <c r="H138" s="56"/>
      <c r="I138" s="6"/>
      <c r="J138" s="6"/>
      <c r="K138" s="51"/>
    </row>
    <row r="139" spans="2:11" x14ac:dyDescent="0.25">
      <c r="B139" s="2">
        <v>44817</v>
      </c>
      <c r="C139" s="10"/>
      <c r="D139" s="4"/>
      <c r="E139" s="20"/>
      <c r="F139" s="9"/>
      <c r="G139" s="9"/>
      <c r="H139" s="56"/>
      <c r="I139" s="6"/>
      <c r="J139" s="6"/>
      <c r="K139" s="51"/>
    </row>
    <row r="140" spans="2:11" x14ac:dyDescent="0.25">
      <c r="B140" s="2">
        <v>44818</v>
      </c>
      <c r="C140" s="10"/>
      <c r="D140" s="4"/>
      <c r="E140" s="20"/>
      <c r="F140" s="9"/>
      <c r="G140" s="9"/>
      <c r="H140" s="56"/>
      <c r="I140" s="6"/>
      <c r="J140" s="6"/>
      <c r="K140" s="51"/>
    </row>
    <row r="141" spans="2:11" x14ac:dyDescent="0.25">
      <c r="B141" s="2">
        <v>44819</v>
      </c>
      <c r="C141" s="10"/>
      <c r="D141" s="4"/>
      <c r="E141" s="20"/>
      <c r="F141" s="9"/>
      <c r="G141" s="9"/>
      <c r="H141" s="56"/>
      <c r="I141" s="6"/>
      <c r="J141" s="6"/>
      <c r="K141" s="51"/>
    </row>
    <row r="142" spans="2:11" x14ac:dyDescent="0.25">
      <c r="B142" s="2">
        <v>44820</v>
      </c>
      <c r="C142" s="10"/>
      <c r="D142" s="4"/>
      <c r="E142" s="20"/>
      <c r="F142" s="9"/>
      <c r="G142" s="9"/>
      <c r="H142" s="56"/>
      <c r="I142" s="6"/>
      <c r="J142" s="6"/>
      <c r="K142" s="51"/>
    </row>
    <row r="143" spans="2:11" x14ac:dyDescent="0.25">
      <c r="B143" s="2">
        <v>44821</v>
      </c>
      <c r="C143" s="10"/>
      <c r="D143" s="4"/>
      <c r="E143" s="20"/>
      <c r="F143" s="9"/>
      <c r="G143" s="9"/>
      <c r="H143" s="56"/>
      <c r="I143" s="6"/>
      <c r="J143" s="6"/>
      <c r="K143" s="51"/>
    </row>
    <row r="144" spans="2:11" x14ac:dyDescent="0.25">
      <c r="B144" s="2">
        <v>44822</v>
      </c>
      <c r="C144" s="10"/>
      <c r="D144" s="4"/>
      <c r="E144" s="20"/>
      <c r="F144" s="9"/>
      <c r="G144" s="9"/>
      <c r="H144" s="56"/>
      <c r="I144" s="6"/>
      <c r="J144" s="6"/>
      <c r="K144" s="51"/>
    </row>
    <row r="145" spans="2:11" x14ac:dyDescent="0.25">
      <c r="B145" s="2">
        <v>44823</v>
      </c>
      <c r="C145" s="10"/>
      <c r="D145" s="4"/>
      <c r="E145" s="20"/>
      <c r="F145" s="9"/>
      <c r="G145" s="9"/>
      <c r="H145" s="56"/>
      <c r="I145" s="6"/>
      <c r="J145" s="6"/>
      <c r="K145" s="51"/>
    </row>
    <row r="146" spans="2:11" x14ac:dyDescent="0.25">
      <c r="B146" s="2">
        <v>44824</v>
      </c>
      <c r="C146" s="10"/>
      <c r="D146" s="4"/>
      <c r="E146" s="20"/>
      <c r="F146" s="9"/>
      <c r="G146" s="9"/>
      <c r="H146" s="56"/>
      <c r="I146" s="6"/>
      <c r="J146" s="6"/>
      <c r="K146" s="51"/>
    </row>
    <row r="147" spans="2:11" x14ac:dyDescent="0.25">
      <c r="B147" s="2">
        <v>44825</v>
      </c>
      <c r="C147" s="10"/>
      <c r="D147" s="4"/>
      <c r="E147" s="20"/>
      <c r="F147" s="9"/>
      <c r="G147" s="9"/>
      <c r="H147" s="56"/>
      <c r="I147" s="6"/>
      <c r="J147" s="6"/>
      <c r="K147" s="51"/>
    </row>
    <row r="148" spans="2:11" x14ac:dyDescent="0.25">
      <c r="B148" s="2">
        <v>44826</v>
      </c>
      <c r="C148" s="10"/>
      <c r="D148" s="4"/>
      <c r="E148" s="20"/>
      <c r="F148" s="9"/>
      <c r="G148" s="9"/>
      <c r="H148" s="56"/>
      <c r="I148" s="6"/>
      <c r="J148" s="6"/>
      <c r="K148" s="51"/>
    </row>
    <row r="149" spans="2:11" x14ac:dyDescent="0.25">
      <c r="B149" s="2">
        <v>44827</v>
      </c>
      <c r="C149" s="10"/>
      <c r="D149" s="4"/>
      <c r="E149" s="20"/>
      <c r="F149" s="9"/>
      <c r="G149" s="9"/>
      <c r="H149" s="56"/>
      <c r="I149" s="6"/>
      <c r="J149" s="6"/>
      <c r="K149" s="51"/>
    </row>
    <row r="150" spans="2:11" x14ac:dyDescent="0.25">
      <c r="B150" s="2">
        <v>44828</v>
      </c>
      <c r="C150" s="10"/>
      <c r="D150" s="4"/>
      <c r="E150" s="20"/>
      <c r="F150" s="9"/>
      <c r="G150" s="9"/>
      <c r="H150" s="56"/>
      <c r="I150" s="6"/>
      <c r="J150" s="6"/>
      <c r="K150" s="51"/>
    </row>
    <row r="151" spans="2:11" x14ac:dyDescent="0.25">
      <c r="B151" s="2">
        <v>44829</v>
      </c>
      <c r="C151" s="10"/>
      <c r="D151" s="4"/>
      <c r="E151" s="20"/>
      <c r="F151" s="9"/>
      <c r="G151" s="9"/>
      <c r="H151" s="56"/>
      <c r="I151" s="6"/>
      <c r="J151" s="6"/>
      <c r="K151" s="51"/>
    </row>
    <row r="152" spans="2:11" x14ac:dyDescent="0.25">
      <c r="B152" s="2">
        <v>44830</v>
      </c>
      <c r="C152" s="10"/>
      <c r="D152" s="4"/>
      <c r="E152" s="20"/>
      <c r="F152" s="9"/>
      <c r="G152" s="9"/>
      <c r="H152" s="56"/>
      <c r="I152" s="6"/>
      <c r="J152" s="6"/>
      <c r="K152" s="51"/>
    </row>
    <row r="153" spans="2:11" x14ac:dyDescent="0.25">
      <c r="B153" s="2">
        <v>44831</v>
      </c>
      <c r="C153" s="10"/>
      <c r="D153" s="4"/>
      <c r="E153" s="20"/>
      <c r="F153" s="9"/>
      <c r="G153" s="9"/>
      <c r="H153" s="56"/>
      <c r="I153" s="6"/>
      <c r="J153" s="6"/>
      <c r="K153" s="51"/>
    </row>
    <row r="154" spans="2:11" x14ac:dyDescent="0.25">
      <c r="B154" s="2">
        <v>44832</v>
      </c>
      <c r="C154" s="10"/>
      <c r="D154" s="4"/>
      <c r="E154" s="20"/>
      <c r="F154" s="9"/>
      <c r="G154" s="9"/>
      <c r="H154" s="56"/>
      <c r="I154" s="6"/>
      <c r="J154" s="6"/>
      <c r="K154" s="51"/>
    </row>
    <row r="155" spans="2:11" x14ac:dyDescent="0.25">
      <c r="B155" s="2">
        <v>44833</v>
      </c>
      <c r="C155" s="10"/>
      <c r="D155" s="4"/>
      <c r="E155" s="20"/>
      <c r="F155" s="9"/>
      <c r="G155" s="9"/>
      <c r="H155" s="56"/>
      <c r="I155" s="6"/>
      <c r="J155" s="6"/>
      <c r="K155" s="51"/>
    </row>
    <row r="156" spans="2:11" x14ac:dyDescent="0.25">
      <c r="B156" s="2">
        <v>44834</v>
      </c>
      <c r="C156" s="10"/>
      <c r="D156" s="4"/>
      <c r="E156" s="20"/>
      <c r="F156" s="9"/>
      <c r="G156" s="9"/>
      <c r="H156" s="56"/>
      <c r="I156" s="57"/>
      <c r="J156" s="57"/>
      <c r="K156" s="58"/>
    </row>
    <row r="157" spans="2:11" x14ac:dyDescent="0.25">
      <c r="C157" s="7"/>
      <c r="D157" s="1"/>
      <c r="E157" s="17"/>
      <c r="F157" s="7"/>
      <c r="G157" s="7"/>
    </row>
    <row r="158" spans="2:11" x14ac:dyDescent="0.25">
      <c r="C158" s="61" t="s">
        <v>3</v>
      </c>
      <c r="D158" s="62" t="s">
        <v>20</v>
      </c>
      <c r="E158" s="63" t="s">
        <v>4</v>
      </c>
      <c r="F158" s="64" t="s">
        <v>5</v>
      </c>
      <c r="G158" s="64" t="s">
        <v>6</v>
      </c>
      <c r="H158" s="65" t="s">
        <v>7</v>
      </c>
      <c r="I158" s="66" t="s">
        <v>17</v>
      </c>
      <c r="J158" s="66" t="s">
        <v>22</v>
      </c>
      <c r="K158" s="59" t="s">
        <v>23</v>
      </c>
    </row>
    <row r="159" spans="2:11" x14ac:dyDescent="0.25">
      <c r="C159" s="112" t="s">
        <v>40</v>
      </c>
      <c r="D159" s="113">
        <v>1</v>
      </c>
      <c r="E159" s="114" t="s">
        <v>41</v>
      </c>
      <c r="F159" s="112" t="s">
        <v>9</v>
      </c>
      <c r="G159" s="112" t="s">
        <v>42</v>
      </c>
      <c r="H159" s="118" t="s">
        <v>37</v>
      </c>
      <c r="I159" s="116" t="s">
        <v>43</v>
      </c>
      <c r="J159" s="116" t="s">
        <v>44</v>
      </c>
      <c r="K159" s="117">
        <v>500</v>
      </c>
    </row>
    <row r="160" spans="2:11" x14ac:dyDescent="0.25">
      <c r="C160" s="112" t="s">
        <v>40</v>
      </c>
      <c r="D160" s="113">
        <v>1</v>
      </c>
      <c r="E160" s="114" t="s">
        <v>41</v>
      </c>
      <c r="F160" s="112" t="s">
        <v>9</v>
      </c>
      <c r="G160" s="112" t="s">
        <v>42</v>
      </c>
      <c r="H160" s="118" t="s">
        <v>37</v>
      </c>
      <c r="I160" s="116" t="s">
        <v>43</v>
      </c>
      <c r="J160" s="116" t="s">
        <v>44</v>
      </c>
      <c r="K160" s="117">
        <v>500</v>
      </c>
    </row>
    <row r="161" spans="3:11" x14ac:dyDescent="0.25">
      <c r="C161" s="112" t="s">
        <v>40</v>
      </c>
      <c r="D161" s="113">
        <v>1</v>
      </c>
      <c r="E161" s="114" t="s">
        <v>41</v>
      </c>
      <c r="F161" s="112" t="s">
        <v>9</v>
      </c>
      <c r="G161" s="112" t="s">
        <v>42</v>
      </c>
      <c r="H161" s="118" t="s">
        <v>37</v>
      </c>
      <c r="I161" s="116" t="s">
        <v>43</v>
      </c>
      <c r="J161" s="116" t="s">
        <v>44</v>
      </c>
      <c r="K161" s="117">
        <v>500</v>
      </c>
    </row>
    <row r="162" spans="3:11" x14ac:dyDescent="0.25">
      <c r="C162" s="112" t="s">
        <v>40</v>
      </c>
      <c r="D162" s="113">
        <v>1</v>
      </c>
      <c r="E162" s="114" t="s">
        <v>41</v>
      </c>
      <c r="F162" s="112" t="s">
        <v>9</v>
      </c>
      <c r="G162" s="112" t="s">
        <v>42</v>
      </c>
      <c r="H162" s="118" t="s">
        <v>37</v>
      </c>
      <c r="I162" s="116" t="s">
        <v>43</v>
      </c>
      <c r="J162" s="116" t="s">
        <v>44</v>
      </c>
      <c r="K162" s="117">
        <v>500</v>
      </c>
    </row>
    <row r="163" spans="3:11" x14ac:dyDescent="0.25">
      <c r="C163" s="112" t="s">
        <v>40</v>
      </c>
      <c r="D163" s="113">
        <v>1</v>
      </c>
      <c r="E163" s="114" t="s">
        <v>41</v>
      </c>
      <c r="F163" s="112" t="s">
        <v>9</v>
      </c>
      <c r="G163" s="112" t="s">
        <v>42</v>
      </c>
      <c r="H163" s="118" t="s">
        <v>37</v>
      </c>
      <c r="I163" s="116" t="s">
        <v>43</v>
      </c>
      <c r="J163" s="116" t="s">
        <v>44</v>
      </c>
      <c r="K163" s="117">
        <v>500</v>
      </c>
    </row>
    <row r="164" spans="3:11" x14ac:dyDescent="0.25">
      <c r="C164" s="112" t="s">
        <v>40</v>
      </c>
      <c r="D164" s="113">
        <v>1</v>
      </c>
      <c r="E164" s="114" t="s">
        <v>41</v>
      </c>
      <c r="F164" s="112" t="s">
        <v>9</v>
      </c>
      <c r="G164" s="112" t="s">
        <v>42</v>
      </c>
      <c r="H164" s="118" t="s">
        <v>37</v>
      </c>
      <c r="I164" s="116" t="s">
        <v>43</v>
      </c>
      <c r="J164" s="116" t="s">
        <v>44</v>
      </c>
      <c r="K164" s="117">
        <v>500</v>
      </c>
    </row>
    <row r="165" spans="3:11" x14ac:dyDescent="0.25">
      <c r="C165" s="119" t="s">
        <v>53</v>
      </c>
      <c r="D165" s="120">
        <v>1</v>
      </c>
      <c r="E165" s="121" t="s">
        <v>53</v>
      </c>
      <c r="F165" s="122" t="s">
        <v>29</v>
      </c>
      <c r="G165" s="122" t="s">
        <v>54</v>
      </c>
      <c r="H165" s="123" t="s">
        <v>53</v>
      </c>
      <c r="I165" s="116" t="s">
        <v>53</v>
      </c>
      <c r="J165" s="116" t="s">
        <v>53</v>
      </c>
      <c r="K165" s="117">
        <v>80</v>
      </c>
    </row>
    <row r="166" spans="3:11" x14ac:dyDescent="0.25">
      <c r="C166" s="119" t="s">
        <v>53</v>
      </c>
      <c r="D166" s="120">
        <v>1</v>
      </c>
      <c r="E166" s="121" t="s">
        <v>53</v>
      </c>
      <c r="F166" s="122" t="s">
        <v>29</v>
      </c>
      <c r="G166" s="122" t="s">
        <v>54</v>
      </c>
      <c r="H166" s="123" t="s">
        <v>53</v>
      </c>
      <c r="I166" s="116" t="s">
        <v>55</v>
      </c>
      <c r="J166" s="116" t="s">
        <v>53</v>
      </c>
      <c r="K166" s="117">
        <v>80</v>
      </c>
    </row>
    <row r="167" spans="3:11" x14ac:dyDescent="0.25">
      <c r="C167" s="119" t="s">
        <v>53</v>
      </c>
      <c r="D167" s="120">
        <v>1</v>
      </c>
      <c r="E167" s="121" t="s">
        <v>53</v>
      </c>
      <c r="F167" s="122" t="s">
        <v>29</v>
      </c>
      <c r="G167" s="122" t="s">
        <v>54</v>
      </c>
      <c r="H167" s="123" t="s">
        <v>53</v>
      </c>
      <c r="I167" s="116" t="s">
        <v>53</v>
      </c>
      <c r="J167" s="116" t="s">
        <v>53</v>
      </c>
      <c r="K167" s="117">
        <v>80</v>
      </c>
    </row>
    <row r="168" spans="3:11" x14ac:dyDescent="0.25">
      <c r="C168" s="119" t="s">
        <v>53</v>
      </c>
      <c r="D168" s="120">
        <v>1</v>
      </c>
      <c r="E168" s="121" t="s">
        <v>53</v>
      </c>
      <c r="F168" s="122" t="s">
        <v>29</v>
      </c>
      <c r="G168" s="122" t="s">
        <v>54</v>
      </c>
      <c r="H168" s="123" t="s">
        <v>53</v>
      </c>
      <c r="I168" s="116" t="s">
        <v>53</v>
      </c>
      <c r="J168" s="116" t="s">
        <v>53</v>
      </c>
      <c r="K168" s="117">
        <v>80</v>
      </c>
    </row>
    <row r="169" spans="3:11" x14ac:dyDescent="0.25">
      <c r="K169"/>
    </row>
    <row r="170" spans="3:11" x14ac:dyDescent="0.25">
      <c r="K170"/>
    </row>
    <row r="171" spans="3:11" x14ac:dyDescent="0.25">
      <c r="K171"/>
    </row>
    <row r="172" spans="3:11" x14ac:dyDescent="0.25">
      <c r="K172"/>
    </row>
    <row r="173" spans="3:11" x14ac:dyDescent="0.25">
      <c r="K173"/>
    </row>
    <row r="174" spans="3:11" x14ac:dyDescent="0.25">
      <c r="K174"/>
    </row>
    <row r="175" spans="3:11" x14ac:dyDescent="0.25">
      <c r="K175"/>
    </row>
    <row r="176" spans="3:11" x14ac:dyDescent="0.25">
      <c r="K176"/>
    </row>
    <row r="177" spans="11:11" x14ac:dyDescent="0.25">
      <c r="K177"/>
    </row>
    <row r="178" spans="11:11" x14ac:dyDescent="0.25">
      <c r="K178"/>
    </row>
    <row r="179" spans="11:11" x14ac:dyDescent="0.25">
      <c r="K179"/>
    </row>
    <row r="180" spans="11:11" x14ac:dyDescent="0.25">
      <c r="K180"/>
    </row>
    <row r="181" spans="11:11" x14ac:dyDescent="0.25">
      <c r="K181"/>
    </row>
    <row r="182" spans="11:11" x14ac:dyDescent="0.25">
      <c r="K182"/>
    </row>
    <row r="183" spans="11:11" x14ac:dyDescent="0.25">
      <c r="K183"/>
    </row>
    <row r="184" spans="11:11" x14ac:dyDescent="0.25">
      <c r="K184"/>
    </row>
    <row r="185" spans="11:11" x14ac:dyDescent="0.25">
      <c r="K185"/>
    </row>
    <row r="186" spans="11:11" x14ac:dyDescent="0.25">
      <c r="K186"/>
    </row>
    <row r="187" spans="11:11" x14ac:dyDescent="0.25">
      <c r="K187"/>
    </row>
    <row r="188" spans="11:11" x14ac:dyDescent="0.25">
      <c r="K188"/>
    </row>
    <row r="189" spans="11:11" x14ac:dyDescent="0.25">
      <c r="K189"/>
    </row>
    <row r="190" spans="11:11" x14ac:dyDescent="0.25">
      <c r="K190"/>
    </row>
    <row r="191" spans="11:11" x14ac:dyDescent="0.25">
      <c r="K191"/>
    </row>
    <row r="192" spans="11:11" x14ac:dyDescent="0.25">
      <c r="K192"/>
    </row>
    <row r="193" spans="11:11" x14ac:dyDescent="0.25">
      <c r="K193"/>
    </row>
    <row r="194" spans="11:11" x14ac:dyDescent="0.25">
      <c r="K194"/>
    </row>
    <row r="195" spans="11:11" x14ac:dyDescent="0.25">
      <c r="K195"/>
    </row>
    <row r="196" spans="11:11" x14ac:dyDescent="0.25">
      <c r="K196"/>
    </row>
    <row r="197" spans="11:11" x14ac:dyDescent="0.25">
      <c r="K197"/>
    </row>
    <row r="198" spans="11:11" x14ac:dyDescent="0.25">
      <c r="K198"/>
    </row>
    <row r="199" spans="11:11" x14ac:dyDescent="0.25">
      <c r="K199"/>
    </row>
    <row r="200" spans="11:11" x14ac:dyDescent="0.25">
      <c r="K200"/>
    </row>
    <row r="201" spans="11:11" x14ac:dyDescent="0.25">
      <c r="K201"/>
    </row>
    <row r="202" spans="11:11" x14ac:dyDescent="0.25">
      <c r="K202"/>
    </row>
    <row r="203" spans="11:11" x14ac:dyDescent="0.25">
      <c r="K203"/>
    </row>
    <row r="204" spans="11:11" x14ac:dyDescent="0.25">
      <c r="K204"/>
    </row>
    <row r="205" spans="11:11" x14ac:dyDescent="0.25">
      <c r="K205"/>
    </row>
    <row r="206" spans="11:11" x14ac:dyDescent="0.25">
      <c r="K206"/>
    </row>
    <row r="207" spans="11:11" x14ac:dyDescent="0.25">
      <c r="K207"/>
    </row>
    <row r="208" spans="11:11" x14ac:dyDescent="0.25">
      <c r="K208"/>
    </row>
    <row r="209" spans="11:11" x14ac:dyDescent="0.25">
      <c r="K209"/>
    </row>
    <row r="210" spans="11:11" x14ac:dyDescent="0.25">
      <c r="K210"/>
    </row>
    <row r="211" spans="11:11" x14ac:dyDescent="0.25">
      <c r="K211"/>
    </row>
    <row r="212" spans="11:11" x14ac:dyDescent="0.25">
      <c r="K212"/>
    </row>
    <row r="213" spans="11:11" x14ac:dyDescent="0.25">
      <c r="K213"/>
    </row>
    <row r="214" spans="11:11" x14ac:dyDescent="0.25">
      <c r="K214"/>
    </row>
    <row r="215" spans="11:11" x14ac:dyDescent="0.25">
      <c r="K215"/>
    </row>
    <row r="216" spans="11:11" x14ac:dyDescent="0.25">
      <c r="K216"/>
    </row>
    <row r="217" spans="11:11" x14ac:dyDescent="0.25">
      <c r="K217"/>
    </row>
    <row r="218" spans="11:11" x14ac:dyDescent="0.25">
      <c r="K218"/>
    </row>
    <row r="219" spans="11:11" x14ac:dyDescent="0.25">
      <c r="K219"/>
    </row>
    <row r="220" spans="11:11" x14ac:dyDescent="0.25">
      <c r="K220"/>
    </row>
    <row r="221" spans="11:11" x14ac:dyDescent="0.25">
      <c r="K221"/>
    </row>
    <row r="222" spans="11:11" x14ac:dyDescent="0.25">
      <c r="K222"/>
    </row>
    <row r="223" spans="11:11" x14ac:dyDescent="0.25">
      <c r="K223"/>
    </row>
    <row r="224" spans="11:11" x14ac:dyDescent="0.25">
      <c r="K224"/>
    </row>
    <row r="225" spans="11:11" x14ac:dyDescent="0.25">
      <c r="K225"/>
    </row>
    <row r="226" spans="11:11" x14ac:dyDescent="0.25">
      <c r="K226"/>
    </row>
    <row r="227" spans="11:11" x14ac:dyDescent="0.25">
      <c r="K227"/>
    </row>
    <row r="228" spans="11:11" x14ac:dyDescent="0.25">
      <c r="K228"/>
    </row>
    <row r="229" spans="11:11" x14ac:dyDescent="0.25">
      <c r="K229"/>
    </row>
    <row r="230" spans="11:11" x14ac:dyDescent="0.25">
      <c r="K230"/>
    </row>
    <row r="231" spans="11:11" x14ac:dyDescent="0.25">
      <c r="K231"/>
    </row>
    <row r="232" spans="11:11" x14ac:dyDescent="0.25">
      <c r="K232"/>
    </row>
    <row r="233" spans="11:11" x14ac:dyDescent="0.25">
      <c r="K233"/>
    </row>
    <row r="234" spans="11:11" x14ac:dyDescent="0.25">
      <c r="K234"/>
    </row>
    <row r="235" spans="11:11" x14ac:dyDescent="0.25">
      <c r="K235"/>
    </row>
    <row r="236" spans="11:11" x14ac:dyDescent="0.25">
      <c r="K236"/>
    </row>
    <row r="237" spans="11:11" x14ac:dyDescent="0.25">
      <c r="K237"/>
    </row>
    <row r="238" spans="11:11" x14ac:dyDescent="0.25">
      <c r="K238"/>
    </row>
    <row r="239" spans="11:11" x14ac:dyDescent="0.25">
      <c r="K239"/>
    </row>
    <row r="240" spans="11:11" x14ac:dyDescent="0.25">
      <c r="K240"/>
    </row>
    <row r="241" spans="11:11" x14ac:dyDescent="0.25">
      <c r="K241"/>
    </row>
    <row r="242" spans="11:11" x14ac:dyDescent="0.25">
      <c r="K242"/>
    </row>
    <row r="243" spans="11:11" x14ac:dyDescent="0.25">
      <c r="K243"/>
    </row>
    <row r="244" spans="11:11" x14ac:dyDescent="0.25">
      <c r="K244"/>
    </row>
    <row r="245" spans="11:11" x14ac:dyDescent="0.25">
      <c r="K245"/>
    </row>
    <row r="246" spans="11:11" x14ac:dyDescent="0.25">
      <c r="K246"/>
    </row>
    <row r="247" spans="11:11" x14ac:dyDescent="0.25">
      <c r="K247"/>
    </row>
    <row r="248" spans="11:11" x14ac:dyDescent="0.25">
      <c r="K248"/>
    </row>
    <row r="249" spans="11:11" x14ac:dyDescent="0.25">
      <c r="K249"/>
    </row>
    <row r="250" spans="11:11" x14ac:dyDescent="0.25">
      <c r="K250"/>
    </row>
    <row r="251" spans="11:11" x14ac:dyDescent="0.25">
      <c r="K251"/>
    </row>
    <row r="252" spans="11:11" x14ac:dyDescent="0.25">
      <c r="K252"/>
    </row>
    <row r="253" spans="11:11" x14ac:dyDescent="0.25">
      <c r="K253"/>
    </row>
    <row r="254" spans="11:11" x14ac:dyDescent="0.25">
      <c r="K254"/>
    </row>
    <row r="255" spans="11:11" x14ac:dyDescent="0.25">
      <c r="K255"/>
    </row>
    <row r="256" spans="11:11" x14ac:dyDescent="0.25">
      <c r="K256"/>
    </row>
    <row r="257" spans="11:11" x14ac:dyDescent="0.25">
      <c r="K257"/>
    </row>
    <row r="258" spans="11:11" x14ac:dyDescent="0.25">
      <c r="K258"/>
    </row>
    <row r="259" spans="11:11" x14ac:dyDescent="0.25">
      <c r="K259"/>
    </row>
  </sheetData>
  <mergeCells count="13">
    <mergeCell ref="M41:N45"/>
    <mergeCell ref="M46:N47"/>
    <mergeCell ref="M48:N51"/>
    <mergeCell ref="M2:O5"/>
    <mergeCell ref="M6:O7"/>
    <mergeCell ref="M8:O13"/>
    <mergeCell ref="M15:O18"/>
    <mergeCell ref="M19:O20"/>
    <mergeCell ref="M32:O35"/>
    <mergeCell ref="M36:O37"/>
    <mergeCell ref="M38:O39"/>
    <mergeCell ref="M22:O25"/>
    <mergeCell ref="M26:O27"/>
  </mergeCell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äivävaraus">
                <anchor moveWithCells="1" sizeWithCells="1">
                  <from>
                    <xdr:col>12</xdr:col>
                    <xdr:colOff>66675</xdr:colOff>
                    <xdr:row>7</xdr:row>
                    <xdr:rowOff>85725</xdr:rowOff>
                  </from>
                  <to>
                    <xdr:col>13</xdr:col>
                    <xdr:colOff>219075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oisto">
                <anchor moveWithCells="1" sizeWithCells="1">
                  <from>
                    <xdr:col>13</xdr:col>
                    <xdr:colOff>276225</xdr:colOff>
                    <xdr:row>7</xdr:row>
                    <xdr:rowOff>85725</xdr:rowOff>
                  </from>
                  <to>
                    <xdr:col>14</xdr:col>
                    <xdr:colOff>552450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Viikkovaraus">
                <anchor moveWithCells="1" sizeWithCells="1">
                  <from>
                    <xdr:col>12</xdr:col>
                    <xdr:colOff>323850</xdr:colOff>
                    <xdr:row>11</xdr:row>
                    <xdr:rowOff>19050</xdr:rowOff>
                  </from>
                  <to>
                    <xdr:col>14</xdr:col>
                    <xdr:colOff>190500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Viikonloppuvaraus">
                <anchor moveWithCells="1" sizeWithCells="1">
                  <from>
                    <xdr:col>12</xdr:col>
                    <xdr:colOff>285750</xdr:colOff>
                    <xdr:row>9</xdr:row>
                    <xdr:rowOff>38100</xdr:rowOff>
                  </from>
                  <to>
                    <xdr:col>14</xdr:col>
                    <xdr:colOff>266700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12</xdr:col>
                    <xdr:colOff>685800</xdr:colOff>
                    <xdr:row>5</xdr:row>
                    <xdr:rowOff>76200</xdr:rowOff>
                  </from>
                  <to>
                    <xdr:col>13</xdr:col>
                    <xdr:colOff>523875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Drop Down 8">
              <controlPr defaultSize="0" autoLine="0" autoPict="0">
                <anchor moveWithCells="1">
                  <from>
                    <xdr:col>12</xdr:col>
                    <xdr:colOff>85725</xdr:colOff>
                    <xdr:row>16</xdr:row>
                    <xdr:rowOff>142875</xdr:rowOff>
                  </from>
                  <to>
                    <xdr:col>12</xdr:col>
                    <xdr:colOff>1038225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Drop Down 9">
              <controlPr defaultSize="0" autoLine="0" autoPict="0">
                <anchor moveWithCells="1">
                  <from>
                    <xdr:col>13</xdr:col>
                    <xdr:colOff>295275</xdr:colOff>
                    <xdr:row>16</xdr:row>
                    <xdr:rowOff>114300</xdr:rowOff>
                  </from>
                  <to>
                    <xdr:col>14</xdr:col>
                    <xdr:colOff>361950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Button 10">
              <controlPr defaultSize="0" print="0" autoFill="0" autoPict="0" macro="[0]!Customvaraus">
                <anchor moveWithCells="1" sizeWithCells="1">
                  <from>
                    <xdr:col>12</xdr:col>
                    <xdr:colOff>66675</xdr:colOff>
                    <xdr:row>18</xdr:row>
                    <xdr:rowOff>76200</xdr:rowOff>
                  </from>
                  <to>
                    <xdr:col>12</xdr:col>
                    <xdr:colOff>1323975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Button 11">
              <controlPr defaultSize="0" print="0" autoFill="0" autoPict="0" macro="[0]!custompoisto">
                <anchor moveWithCells="1" sizeWithCells="1">
                  <from>
                    <xdr:col>12</xdr:col>
                    <xdr:colOff>1409700</xdr:colOff>
                    <xdr:row>18</xdr:row>
                    <xdr:rowOff>76200</xdr:rowOff>
                  </from>
                  <to>
                    <xdr:col>14</xdr:col>
                    <xdr:colOff>581025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Drop Down 12">
              <controlPr defaultSize="0" autoLine="0" autoPict="0">
                <anchor moveWithCells="1">
                  <from>
                    <xdr:col>12</xdr:col>
                    <xdr:colOff>66675</xdr:colOff>
                    <xdr:row>25</xdr:row>
                    <xdr:rowOff>28575</xdr:rowOff>
                  </from>
                  <to>
                    <xdr:col>12</xdr:col>
                    <xdr:colOff>1419225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Scroll Bar 13">
              <controlPr defaultSize="0" autoPict="0">
                <anchor moveWithCells="1">
                  <from>
                    <xdr:col>12</xdr:col>
                    <xdr:colOff>19050</xdr:colOff>
                    <xdr:row>28</xdr:row>
                    <xdr:rowOff>0</xdr:rowOff>
                  </from>
                  <to>
                    <xdr:col>14</xdr:col>
                    <xdr:colOff>600075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5" name="Button 14">
              <controlPr defaultSize="0" print="0" autoFill="0" autoPict="0" macro="[0]!Kopiointi">
                <anchor moveWithCells="1" sizeWithCells="1">
                  <from>
                    <xdr:col>12</xdr:col>
                    <xdr:colOff>1476375</xdr:colOff>
                    <xdr:row>25</xdr:row>
                    <xdr:rowOff>38100</xdr:rowOff>
                  </from>
                  <to>
                    <xdr:col>14</xdr:col>
                    <xdr:colOff>581025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6" name="Drop Down 15">
              <controlPr defaultSize="0" autoLine="0" autoPict="0">
                <anchor moveWithCells="1">
                  <from>
                    <xdr:col>12</xdr:col>
                    <xdr:colOff>76200</xdr:colOff>
                    <xdr:row>35</xdr:row>
                    <xdr:rowOff>66675</xdr:rowOff>
                  </from>
                  <to>
                    <xdr:col>12</xdr:col>
                    <xdr:colOff>1276350</xdr:colOff>
                    <xdr:row>36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7" name="Drop Down 16">
              <controlPr defaultSize="0" autoLine="0" autoPict="0">
                <anchor moveWithCells="1">
                  <from>
                    <xdr:col>12</xdr:col>
                    <xdr:colOff>1362075</xdr:colOff>
                    <xdr:row>35</xdr:row>
                    <xdr:rowOff>76200</xdr:rowOff>
                  </from>
                  <to>
                    <xdr:col>14</xdr:col>
                    <xdr:colOff>381000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8" name="Button 17">
              <controlPr defaultSize="0" print="0" autoFill="0" autoPict="0" macro="[0]!Muokkaus">
                <anchor moveWithCells="1" sizeWithCells="1">
                  <from>
                    <xdr:col>12</xdr:col>
                    <xdr:colOff>847725</xdr:colOff>
                    <xdr:row>37</xdr:row>
                    <xdr:rowOff>47625</xdr:rowOff>
                  </from>
                  <to>
                    <xdr:col>13</xdr:col>
                    <xdr:colOff>304800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9" name="Drop Down 24">
              <controlPr defaultSize="0" autoLine="0" autoPict="0">
                <anchor moveWithCells="1">
                  <from>
                    <xdr:col>12</xdr:col>
                    <xdr:colOff>57150</xdr:colOff>
                    <xdr:row>45</xdr:row>
                    <xdr:rowOff>38100</xdr:rowOff>
                  </from>
                  <to>
                    <xdr:col>12</xdr:col>
                    <xdr:colOff>781050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0" name="Drop Down 25">
              <controlPr defaultSize="0" autoLine="0" autoPict="0">
                <anchor moveWithCells="1">
                  <from>
                    <xdr:col>13</xdr:col>
                    <xdr:colOff>47625</xdr:colOff>
                    <xdr:row>45</xdr:row>
                    <xdr:rowOff>47625</xdr:rowOff>
                  </from>
                  <to>
                    <xdr:col>13</xdr:col>
                    <xdr:colOff>742950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1" name="Button 26">
              <controlPr defaultSize="0" print="0" autoFill="0" autoPict="0" macro="[0]!Suodatus">
                <anchor moveWithCells="1" sizeWithCells="1">
                  <from>
                    <xdr:col>12</xdr:col>
                    <xdr:colOff>1276350</xdr:colOff>
                    <xdr:row>47</xdr:row>
                    <xdr:rowOff>57150</xdr:rowOff>
                  </from>
                  <to>
                    <xdr:col>13</xdr:col>
                    <xdr:colOff>752475</xdr:colOff>
                    <xdr:row>48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22" name="Option Button 27">
              <controlPr defaultSize="0" autoFill="0" autoLine="0" autoPict="0">
                <anchor moveWithCells="1">
                  <from>
                    <xdr:col>12</xdr:col>
                    <xdr:colOff>123825</xdr:colOff>
                    <xdr:row>46</xdr:row>
                    <xdr:rowOff>152400</xdr:rowOff>
                  </from>
                  <to>
                    <xdr:col>12</xdr:col>
                    <xdr:colOff>1457325</xdr:colOff>
                    <xdr:row>48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3" name="Option Button 28">
              <controlPr defaultSize="0" autoFill="0" autoLine="0" autoPict="0">
                <anchor moveWithCells="1">
                  <from>
                    <xdr:col>12</xdr:col>
                    <xdr:colOff>123825</xdr:colOff>
                    <xdr:row>48</xdr:row>
                    <xdr:rowOff>47625</xdr:rowOff>
                  </from>
                  <to>
                    <xdr:col>12</xdr:col>
                    <xdr:colOff>1133475</xdr:colOff>
                    <xdr:row>49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24" name="Option Button 29">
              <controlPr defaultSize="0" autoFill="0" autoLine="0" autoPict="0">
                <anchor moveWithCells="1">
                  <from>
                    <xdr:col>12</xdr:col>
                    <xdr:colOff>123825</xdr:colOff>
                    <xdr:row>49</xdr:row>
                    <xdr:rowOff>66675</xdr:rowOff>
                  </from>
                  <to>
                    <xdr:col>12</xdr:col>
                    <xdr:colOff>1238250</xdr:colOff>
                    <xdr:row>50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25" name="Button 30">
              <controlPr defaultSize="0" print="0" autoFill="0" autoPict="0" macro="[0]!Suodatuspoisto">
                <anchor moveWithCells="1" sizeWithCells="1">
                  <from>
                    <xdr:col>12</xdr:col>
                    <xdr:colOff>1276350</xdr:colOff>
                    <xdr:row>49</xdr:row>
                    <xdr:rowOff>19050</xdr:rowOff>
                  </from>
                  <to>
                    <xdr:col>13</xdr:col>
                    <xdr:colOff>752475</xdr:colOff>
                    <xdr:row>50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2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B06F9-CC35-4D6C-886E-D45EFD91925B}">
  <sheetPr codeName="Sheet4"/>
  <dimension ref="B1:AE259"/>
  <sheetViews>
    <sheetView topLeftCell="A145" workbookViewId="0">
      <selection activeCell="C158" sqref="C158"/>
    </sheetView>
  </sheetViews>
  <sheetFormatPr defaultRowHeight="15" x14ac:dyDescent="0.25"/>
  <cols>
    <col min="2" max="2" width="13" customWidth="1"/>
    <col min="3" max="3" width="24.28515625" customWidth="1"/>
    <col min="4" max="4" width="8.140625" customWidth="1"/>
    <col min="5" max="5" width="35.85546875" customWidth="1"/>
    <col min="6" max="6" width="13.5703125" customWidth="1"/>
    <col min="7" max="7" width="17" customWidth="1"/>
    <col min="8" max="8" width="30.7109375" customWidth="1"/>
    <col min="9" max="9" width="32.140625" customWidth="1"/>
    <col min="10" max="10" width="10.7109375" customWidth="1"/>
    <col min="11" max="11" width="10.7109375" style="50" customWidth="1"/>
    <col min="12" max="12" width="5" customWidth="1"/>
    <col min="13" max="13" width="22.140625" customWidth="1"/>
    <col min="14" max="14" width="12.28515625" customWidth="1"/>
    <col min="15" max="16" width="9.140625" customWidth="1"/>
    <col min="17" max="17" width="23.42578125" bestFit="1" customWidth="1"/>
    <col min="18" max="18" width="12.28515625" bestFit="1" customWidth="1"/>
    <col min="22" max="22" width="9.85546875" customWidth="1"/>
  </cols>
  <sheetData>
    <row r="1" spans="2:31" ht="26.25" x14ac:dyDescent="0.4">
      <c r="B1" s="12" t="s">
        <v>33</v>
      </c>
      <c r="D1" s="28"/>
      <c r="E1" s="17"/>
      <c r="F1" s="7"/>
      <c r="G1" s="7"/>
      <c r="M1" s="5"/>
      <c r="S1" s="3"/>
      <c r="V1" s="41">
        <v>5</v>
      </c>
      <c r="W1" s="42" t="s">
        <v>3</v>
      </c>
      <c r="X1" s="50">
        <v>40</v>
      </c>
    </row>
    <row r="2" spans="2:31" ht="15" customHeight="1" x14ac:dyDescent="0.25">
      <c r="D2" s="28"/>
      <c r="E2" s="17"/>
      <c r="F2" s="7"/>
      <c r="G2" s="7"/>
      <c r="M2" s="81" t="s">
        <v>0</v>
      </c>
      <c r="N2" s="82"/>
      <c r="O2" s="83"/>
      <c r="V2" s="43">
        <v>10</v>
      </c>
      <c r="W2" s="30" t="s">
        <v>19</v>
      </c>
      <c r="X2" s="50">
        <v>80</v>
      </c>
    </row>
    <row r="3" spans="2:31" ht="15" customHeight="1" x14ac:dyDescent="0.25">
      <c r="B3" s="13" t="s">
        <v>2</v>
      </c>
      <c r="C3" s="14" t="s">
        <v>3</v>
      </c>
      <c r="D3" s="48" t="s">
        <v>20</v>
      </c>
      <c r="E3" s="18" t="s">
        <v>4</v>
      </c>
      <c r="F3" s="15" t="s">
        <v>5</v>
      </c>
      <c r="G3" s="15" t="s">
        <v>6</v>
      </c>
      <c r="H3" s="16" t="s">
        <v>7</v>
      </c>
      <c r="I3" s="40" t="s">
        <v>17</v>
      </c>
      <c r="J3" s="40" t="s">
        <v>22</v>
      </c>
      <c r="K3" s="52" t="s">
        <v>23</v>
      </c>
      <c r="M3" s="84"/>
      <c r="N3" s="85"/>
      <c r="O3" s="86"/>
      <c r="V3" s="43">
        <v>10</v>
      </c>
      <c r="W3" s="44" t="s">
        <v>18</v>
      </c>
      <c r="X3" s="50">
        <v>120</v>
      </c>
    </row>
    <row r="4" spans="2:31" ht="15" customHeight="1" x14ac:dyDescent="0.25">
      <c r="B4" s="2">
        <v>44682</v>
      </c>
      <c r="C4" s="8"/>
      <c r="D4" s="21"/>
      <c r="E4" s="19"/>
      <c r="F4" s="8"/>
      <c r="G4" s="8"/>
      <c r="H4" s="33"/>
      <c r="I4" s="6"/>
      <c r="J4" s="6"/>
      <c r="K4" s="51"/>
      <c r="M4" s="84"/>
      <c r="N4" s="85"/>
      <c r="O4" s="86"/>
      <c r="V4" s="43">
        <v>71</v>
      </c>
      <c r="W4" s="44" t="s">
        <v>5</v>
      </c>
      <c r="X4" s="50">
        <v>180</v>
      </c>
    </row>
    <row r="5" spans="2:31" ht="15" customHeight="1" x14ac:dyDescent="0.25">
      <c r="B5" s="2">
        <v>44683</v>
      </c>
      <c r="C5" s="8"/>
      <c r="D5" s="21"/>
      <c r="E5" s="19"/>
      <c r="F5" s="8"/>
      <c r="G5" s="8"/>
      <c r="H5" s="34"/>
      <c r="I5" s="6"/>
      <c r="J5" s="6"/>
      <c r="K5" s="51"/>
      <c r="M5" s="87"/>
      <c r="N5" s="88"/>
      <c r="O5" s="89"/>
      <c r="V5" s="43">
        <v>70</v>
      </c>
      <c r="W5" s="44" t="s">
        <v>6</v>
      </c>
      <c r="X5" s="50">
        <v>220</v>
      </c>
    </row>
    <row r="6" spans="2:31" ht="15.75" thickBot="1" x14ac:dyDescent="0.3">
      <c r="B6" s="2">
        <v>44684</v>
      </c>
      <c r="C6" s="8"/>
      <c r="D6" s="21"/>
      <c r="E6" s="19"/>
      <c r="F6" s="8"/>
      <c r="G6" s="8"/>
      <c r="H6" s="34"/>
      <c r="I6" s="6"/>
      <c r="J6" s="6"/>
      <c r="K6" s="51"/>
      <c r="M6" s="75"/>
      <c r="N6" s="90"/>
      <c r="O6" s="76"/>
      <c r="V6" s="45">
        <v>9</v>
      </c>
      <c r="W6" s="44" t="s">
        <v>7</v>
      </c>
      <c r="X6" s="50">
        <v>500</v>
      </c>
    </row>
    <row r="7" spans="2:31" ht="15.75" thickBot="1" x14ac:dyDescent="0.3">
      <c r="B7" s="2">
        <v>44685</v>
      </c>
      <c r="C7" s="8"/>
      <c r="D7" s="21"/>
      <c r="E7" s="19"/>
      <c r="F7" s="8"/>
      <c r="G7" s="8"/>
      <c r="H7" s="34"/>
      <c r="I7" s="6"/>
      <c r="J7" s="6"/>
      <c r="K7" s="51"/>
      <c r="M7" s="77"/>
      <c r="N7" s="92"/>
      <c r="O7" s="78"/>
      <c r="V7" s="47"/>
      <c r="W7" s="46" t="s">
        <v>17</v>
      </c>
      <c r="X7" s="50">
        <v>900</v>
      </c>
    </row>
    <row r="8" spans="2:31" x14ac:dyDescent="0.25">
      <c r="B8" s="2">
        <v>44686</v>
      </c>
      <c r="C8" s="112" t="s">
        <v>45</v>
      </c>
      <c r="D8" s="113">
        <v>1</v>
      </c>
      <c r="E8" s="114" t="s">
        <v>46</v>
      </c>
      <c r="F8" s="112" t="s">
        <v>29</v>
      </c>
      <c r="G8" s="112" t="s">
        <v>47</v>
      </c>
      <c r="H8" s="118" t="s">
        <v>37</v>
      </c>
      <c r="I8" s="116" t="s">
        <v>38</v>
      </c>
      <c r="J8" s="116" t="s">
        <v>39</v>
      </c>
      <c r="K8" s="117">
        <v>40</v>
      </c>
      <c r="M8" s="75"/>
      <c r="N8" s="90"/>
      <c r="O8" s="76"/>
      <c r="V8" t="s">
        <v>8</v>
      </c>
      <c r="W8" s="49" t="s">
        <v>30</v>
      </c>
      <c r="X8">
        <v>1</v>
      </c>
    </row>
    <row r="9" spans="2:31" x14ac:dyDescent="0.25">
      <c r="B9" s="2">
        <v>44687</v>
      </c>
      <c r="C9" s="112" t="s">
        <v>45</v>
      </c>
      <c r="D9" s="113">
        <v>1</v>
      </c>
      <c r="E9" s="114" t="s">
        <v>46</v>
      </c>
      <c r="F9" s="112" t="s">
        <v>29</v>
      </c>
      <c r="G9" s="112" t="s">
        <v>47</v>
      </c>
      <c r="H9" s="118" t="s">
        <v>37</v>
      </c>
      <c r="I9" s="116" t="s">
        <v>38</v>
      </c>
      <c r="J9" s="116" t="s">
        <v>39</v>
      </c>
      <c r="K9" s="117">
        <v>40</v>
      </c>
      <c r="M9" s="79"/>
      <c r="N9" s="91"/>
      <c r="O9" s="80"/>
      <c r="W9" s="49" t="s">
        <v>23</v>
      </c>
      <c r="X9">
        <v>4</v>
      </c>
    </row>
    <row r="10" spans="2:31" x14ac:dyDescent="0.25">
      <c r="B10" s="2">
        <v>44688</v>
      </c>
      <c r="C10" s="112" t="s">
        <v>45</v>
      </c>
      <c r="D10" s="113">
        <v>1</v>
      </c>
      <c r="E10" s="114" t="s">
        <v>46</v>
      </c>
      <c r="F10" s="112" t="s">
        <v>29</v>
      </c>
      <c r="G10" s="112" t="s">
        <v>47</v>
      </c>
      <c r="H10" s="118" t="s">
        <v>37</v>
      </c>
      <c r="I10" s="116" t="s">
        <v>38</v>
      </c>
      <c r="J10" s="116" t="s">
        <v>39</v>
      </c>
      <c r="K10" s="117">
        <v>40</v>
      </c>
      <c r="M10" s="79"/>
      <c r="N10" s="91"/>
      <c r="O10" s="80"/>
      <c r="X10">
        <v>1</v>
      </c>
    </row>
    <row r="11" spans="2:31" x14ac:dyDescent="0.25">
      <c r="B11" s="2">
        <v>44689</v>
      </c>
      <c r="C11" s="112" t="s">
        <v>45</v>
      </c>
      <c r="D11" s="113">
        <v>1</v>
      </c>
      <c r="E11" s="114" t="s">
        <v>46</v>
      </c>
      <c r="F11" s="112" t="s">
        <v>29</v>
      </c>
      <c r="G11" s="112" t="s">
        <v>47</v>
      </c>
      <c r="H11" s="118" t="s">
        <v>37</v>
      </c>
      <c r="I11" s="116" t="s">
        <v>38</v>
      </c>
      <c r="J11" s="116" t="s">
        <v>39</v>
      </c>
      <c r="K11" s="117">
        <v>40</v>
      </c>
      <c r="M11" s="79"/>
      <c r="N11" s="91"/>
      <c r="O11" s="80"/>
      <c r="V11" s="59" t="s">
        <v>23</v>
      </c>
      <c r="W11" s="59" t="s">
        <v>23</v>
      </c>
      <c r="Y11" s="60" t="s">
        <v>5</v>
      </c>
      <c r="Z11" s="59" t="s">
        <v>23</v>
      </c>
      <c r="AA11" s="59" t="s">
        <v>23</v>
      </c>
      <c r="AC11" s="60" t="s">
        <v>5</v>
      </c>
      <c r="AD11" s="59" t="s">
        <v>23</v>
      </c>
      <c r="AE11" s="59" t="s">
        <v>23</v>
      </c>
    </row>
    <row r="12" spans="2:31" x14ac:dyDescent="0.25">
      <c r="B12" s="2">
        <v>44690</v>
      </c>
      <c r="C12" s="112" t="s">
        <v>45</v>
      </c>
      <c r="D12" s="113">
        <v>1</v>
      </c>
      <c r="E12" s="114" t="s">
        <v>46</v>
      </c>
      <c r="F12" s="112" t="s">
        <v>29</v>
      </c>
      <c r="G12" s="112" t="s">
        <v>47</v>
      </c>
      <c r="H12" s="118" t="s">
        <v>37</v>
      </c>
      <c r="I12" s="116" t="s">
        <v>38</v>
      </c>
      <c r="J12" s="116" t="s">
        <v>39</v>
      </c>
      <c r="K12" s="117">
        <v>40</v>
      </c>
      <c r="M12" s="79"/>
      <c r="N12" s="91"/>
      <c r="O12" s="80"/>
      <c r="V12" t="str" cm="1">
        <f t="array" ref="V12">_xlfn.IFS(X8=1,"&gt;=40",X8=2,"&gt;=80",X8=3,"&gt;=120",X8=4,"&gt;=180",X8=5,"&gt;=220",X8=6,"&gt;=500",X8=7,"&gt;=900")</f>
        <v>&gt;=40</v>
      </c>
      <c r="W12" t="str" cm="1">
        <f t="array" ref="W12">_xlfn.IFS(X9=1,"&lt;=40",X9=2,"&lt;=80",X9=3,"&lt;=120",X9=4,"&lt;=180",X9=5,"&lt;=220",X9=6,"&lt;=500",X9=7,"&lt;=900")</f>
        <v>&lt;=180</v>
      </c>
      <c r="Y12" t="s">
        <v>29</v>
      </c>
      <c r="Z12" t="str" cm="1">
        <f t="array" ref="Z12">_xlfn.IFS(X8=1,"&gt;=40",X8=2,"&gt;=80",X8=3,"&gt;=120",X8=4,"&gt;=180",X8=5,"&gt;=220",X8=6,"&gt;=500",X8=7,"&gt;=900")</f>
        <v>&gt;=40</v>
      </c>
      <c r="AA12" t="str" cm="1">
        <f t="array" ref="AA12">_xlfn.IFS(X9=1,"&lt;=40",X9=2,"&lt;=80",X9=3,"&lt;=120",X9=4,"&lt;=180",X9=5,"&lt;=220",X9=6,"&lt;=500",X9=7,"&lt;=900")</f>
        <v>&lt;=180</v>
      </c>
      <c r="AC12" t="s">
        <v>9</v>
      </c>
      <c r="AD12" t="str" cm="1">
        <f t="array" ref="AD12">_xlfn.IFS(X8=1,"&gt;=40",X8=2,"&gt;=80",X8=3,"&gt;=120",X8=4,"&gt;=180",X8=5,"&gt;=220",X8=6,"&gt;=500",X8=7,"&gt;=900")</f>
        <v>&gt;=40</v>
      </c>
      <c r="AE12" t="str" cm="1">
        <f t="array" ref="AE12">_xlfn.IFS(X9=1,"&lt;=40",X9=2,"&lt;=80",X9=3,"&lt;=120",X9=4,"&lt;=180",X9=5,"&lt;=220",X9=6,"&lt;=500",X9=7,"&lt;=900")</f>
        <v>&lt;=180</v>
      </c>
    </row>
    <row r="13" spans="2:31" x14ac:dyDescent="0.25">
      <c r="B13" s="2">
        <v>44691</v>
      </c>
      <c r="C13" s="112" t="s">
        <v>45</v>
      </c>
      <c r="D13" s="113">
        <v>1</v>
      </c>
      <c r="E13" s="114" t="s">
        <v>46</v>
      </c>
      <c r="F13" s="112" t="s">
        <v>29</v>
      </c>
      <c r="G13" s="112" t="s">
        <v>47</v>
      </c>
      <c r="H13" s="118" t="s">
        <v>37</v>
      </c>
      <c r="I13" s="116" t="s">
        <v>38</v>
      </c>
      <c r="J13" s="116" t="s">
        <v>39</v>
      </c>
      <c r="K13" s="117">
        <v>40</v>
      </c>
      <c r="M13" s="77"/>
      <c r="N13" s="92"/>
      <c r="O13" s="78"/>
    </row>
    <row r="14" spans="2:31" x14ac:dyDescent="0.25">
      <c r="B14" s="2">
        <v>44692</v>
      </c>
      <c r="C14" s="112" t="s">
        <v>45</v>
      </c>
      <c r="D14" s="113">
        <v>1</v>
      </c>
      <c r="E14" s="114" t="s">
        <v>46</v>
      </c>
      <c r="F14" s="112" t="s">
        <v>29</v>
      </c>
      <c r="G14" s="112" t="s">
        <v>47</v>
      </c>
      <c r="H14" s="118" t="s">
        <v>37</v>
      </c>
      <c r="I14" s="116" t="s">
        <v>38</v>
      </c>
      <c r="J14" s="116" t="s">
        <v>39</v>
      </c>
      <c r="K14" s="117">
        <v>40</v>
      </c>
    </row>
    <row r="15" spans="2:31" ht="15" customHeight="1" x14ac:dyDescent="0.25">
      <c r="B15" s="2">
        <v>44693</v>
      </c>
      <c r="C15" s="112" t="s">
        <v>45</v>
      </c>
      <c r="D15" s="113">
        <v>1</v>
      </c>
      <c r="E15" s="114" t="s">
        <v>46</v>
      </c>
      <c r="F15" s="112" t="s">
        <v>29</v>
      </c>
      <c r="G15" s="112" t="s">
        <v>47</v>
      </c>
      <c r="H15" s="118" t="s">
        <v>37</v>
      </c>
      <c r="I15" s="116" t="s">
        <v>38</v>
      </c>
      <c r="J15" s="116" t="s">
        <v>39</v>
      </c>
      <c r="K15" s="117">
        <v>40</v>
      </c>
      <c r="M15" s="93" t="s">
        <v>10</v>
      </c>
      <c r="N15" s="94"/>
      <c r="O15" s="95"/>
    </row>
    <row r="16" spans="2:31" ht="15" customHeight="1" x14ac:dyDescent="0.25">
      <c r="B16" s="2">
        <v>44694</v>
      </c>
      <c r="C16" s="8"/>
      <c r="D16" s="21"/>
      <c r="E16" s="19"/>
      <c r="F16" s="8"/>
      <c r="G16" s="8"/>
      <c r="H16" s="34"/>
      <c r="I16" s="6"/>
      <c r="J16" s="6"/>
      <c r="K16" s="51"/>
      <c r="M16" s="96"/>
      <c r="N16" s="97"/>
      <c r="O16" s="98"/>
    </row>
    <row r="17" spans="2:15" ht="15" customHeight="1" x14ac:dyDescent="0.25">
      <c r="B17" s="2">
        <v>44695</v>
      </c>
      <c r="C17" s="10"/>
      <c r="D17" s="4"/>
      <c r="E17" s="20"/>
      <c r="F17" s="9"/>
      <c r="G17" s="9"/>
      <c r="H17" s="11"/>
      <c r="I17" s="6"/>
      <c r="J17" s="6"/>
      <c r="K17" s="51"/>
      <c r="M17" s="96"/>
      <c r="N17" s="97"/>
      <c r="O17" s="98"/>
    </row>
    <row r="18" spans="2:15" ht="15" customHeight="1" x14ac:dyDescent="0.25">
      <c r="B18" s="2">
        <v>44696</v>
      </c>
      <c r="C18" s="10"/>
      <c r="D18" s="4"/>
      <c r="E18" s="20"/>
      <c r="F18" s="9"/>
      <c r="G18" s="9"/>
      <c r="H18" s="11"/>
      <c r="I18" s="6"/>
      <c r="J18" s="6"/>
      <c r="K18" s="51"/>
      <c r="M18" s="99"/>
      <c r="N18" s="100"/>
      <c r="O18" s="101"/>
    </row>
    <row r="19" spans="2:15" x14ac:dyDescent="0.25">
      <c r="B19" s="2">
        <v>44697</v>
      </c>
      <c r="C19" s="10"/>
      <c r="D19" s="4"/>
      <c r="E19" s="20"/>
      <c r="F19" s="9"/>
      <c r="G19" s="9"/>
      <c r="H19" s="11"/>
      <c r="I19" s="6"/>
      <c r="J19" s="6"/>
      <c r="K19" s="51"/>
      <c r="M19" s="75"/>
      <c r="N19" s="90"/>
      <c r="O19" s="76"/>
    </row>
    <row r="20" spans="2:15" x14ac:dyDescent="0.25">
      <c r="B20" s="2">
        <v>44698</v>
      </c>
      <c r="C20" s="10"/>
      <c r="D20" s="4"/>
      <c r="E20" s="20"/>
      <c r="F20" s="9"/>
      <c r="G20" s="9"/>
      <c r="H20" s="11"/>
      <c r="I20" s="6"/>
      <c r="J20" s="6"/>
      <c r="K20" s="51"/>
      <c r="M20" s="77"/>
      <c r="N20" s="92"/>
      <c r="O20" s="78"/>
    </row>
    <row r="21" spans="2:15" x14ac:dyDescent="0.25">
      <c r="B21" s="2">
        <v>44699</v>
      </c>
      <c r="C21" s="10"/>
      <c r="D21" s="4"/>
      <c r="E21" s="20"/>
      <c r="F21" s="9"/>
      <c r="G21" s="9"/>
      <c r="H21" s="11"/>
      <c r="I21" s="6"/>
      <c r="J21" s="6"/>
      <c r="K21" s="51"/>
      <c r="N21" s="37"/>
      <c r="O21" s="37"/>
    </row>
    <row r="22" spans="2:15" ht="15" customHeight="1" x14ac:dyDescent="0.25">
      <c r="B22" s="2">
        <v>44700</v>
      </c>
      <c r="C22" s="10"/>
      <c r="D22" s="4"/>
      <c r="E22" s="20"/>
      <c r="F22" s="9"/>
      <c r="G22" s="9"/>
      <c r="H22" s="11"/>
      <c r="I22" s="6"/>
      <c r="J22" s="6"/>
      <c r="K22" s="51"/>
      <c r="M22" s="102" t="s">
        <v>1</v>
      </c>
      <c r="N22" s="103"/>
      <c r="O22" s="104"/>
    </row>
    <row r="23" spans="2:15" x14ac:dyDescent="0.25">
      <c r="B23" s="2">
        <v>44701</v>
      </c>
      <c r="C23" s="10"/>
      <c r="D23" s="4"/>
      <c r="E23" s="20"/>
      <c r="F23" s="9"/>
      <c r="G23" s="9"/>
      <c r="H23" s="11"/>
      <c r="I23" s="6"/>
      <c r="J23" s="6"/>
      <c r="K23" s="51"/>
      <c r="M23" s="105"/>
      <c r="N23" s="106"/>
      <c r="O23" s="107"/>
    </row>
    <row r="24" spans="2:15" x14ac:dyDescent="0.25">
      <c r="B24" s="2">
        <v>44702</v>
      </c>
      <c r="C24" s="10"/>
      <c r="D24" s="4"/>
      <c r="E24" s="20"/>
      <c r="F24" s="9"/>
      <c r="G24" s="9"/>
      <c r="H24" s="11"/>
      <c r="I24" s="6"/>
      <c r="J24" s="6"/>
      <c r="K24" s="51"/>
      <c r="M24" s="105"/>
      <c r="N24" s="106"/>
      <c r="O24" s="107"/>
    </row>
    <row r="25" spans="2:15" x14ac:dyDescent="0.25">
      <c r="B25" s="2">
        <v>44703</v>
      </c>
      <c r="C25" s="10"/>
      <c r="D25" s="4"/>
      <c r="E25" s="20"/>
      <c r="F25" s="9"/>
      <c r="G25" s="9"/>
      <c r="H25" s="11"/>
      <c r="I25" s="6"/>
      <c r="J25" s="6"/>
      <c r="K25" s="51"/>
      <c r="M25" s="108"/>
      <c r="N25" s="109"/>
      <c r="O25" s="110"/>
    </row>
    <row r="26" spans="2:15" x14ac:dyDescent="0.25">
      <c r="B26" s="2">
        <v>44704</v>
      </c>
      <c r="C26" s="10"/>
      <c r="D26" s="4"/>
      <c r="E26" s="20"/>
      <c r="F26" s="9"/>
      <c r="G26" s="9"/>
      <c r="H26" s="11"/>
      <c r="I26" s="6"/>
      <c r="J26" s="6"/>
      <c r="K26" s="51"/>
      <c r="M26" s="75"/>
      <c r="N26" s="90"/>
      <c r="O26" s="76"/>
    </row>
    <row r="27" spans="2:15" x14ac:dyDescent="0.25">
      <c r="B27" s="2">
        <v>44705</v>
      </c>
      <c r="C27" s="10"/>
      <c r="D27" s="4"/>
      <c r="E27" s="20"/>
      <c r="F27" s="9"/>
      <c r="G27" s="9"/>
      <c r="H27" s="11"/>
      <c r="I27" s="6"/>
      <c r="J27" s="6"/>
      <c r="K27" s="51"/>
      <c r="M27" s="77"/>
      <c r="N27" s="92"/>
      <c r="O27" s="78"/>
    </row>
    <row r="28" spans="2:15" ht="15" customHeight="1" x14ac:dyDescent="0.25">
      <c r="B28" s="2">
        <v>44706</v>
      </c>
      <c r="C28" s="10"/>
      <c r="D28" s="4"/>
      <c r="E28" s="20"/>
      <c r="F28" s="9"/>
      <c r="G28" s="9"/>
      <c r="H28" s="11"/>
      <c r="I28" s="6"/>
      <c r="J28" s="6"/>
      <c r="K28" s="51"/>
      <c r="M28" s="25" t="s">
        <v>21</v>
      </c>
      <c r="N28" s="38">
        <v>4</v>
      </c>
      <c r="O28" s="29"/>
    </row>
    <row r="29" spans="2:15" x14ac:dyDescent="0.25">
      <c r="B29" s="2">
        <v>44707</v>
      </c>
      <c r="C29" s="10"/>
      <c r="D29" s="4"/>
      <c r="E29" s="20"/>
      <c r="F29" s="9"/>
      <c r="G29" s="9"/>
      <c r="H29" s="11"/>
      <c r="I29" s="6"/>
      <c r="J29" s="6"/>
      <c r="K29" s="51"/>
      <c r="M29" s="26"/>
      <c r="N29" s="36"/>
      <c r="O29" s="30"/>
    </row>
    <row r="30" spans="2:15" x14ac:dyDescent="0.25">
      <c r="B30" s="2">
        <v>44708</v>
      </c>
      <c r="C30" s="10"/>
      <c r="D30" s="4"/>
      <c r="E30" s="20"/>
      <c r="F30" s="9"/>
      <c r="G30" s="9"/>
      <c r="H30" s="11"/>
      <c r="I30" s="6"/>
      <c r="J30" s="6"/>
      <c r="K30" s="51"/>
      <c r="M30" s="27"/>
      <c r="N30" s="39"/>
      <c r="O30" s="31"/>
    </row>
    <row r="31" spans="2:15" x14ac:dyDescent="0.25">
      <c r="B31" s="2">
        <v>44709</v>
      </c>
      <c r="C31" s="10"/>
      <c r="D31" s="4"/>
      <c r="E31" s="20"/>
      <c r="F31" s="9"/>
      <c r="G31" s="9"/>
      <c r="H31" s="11"/>
      <c r="I31" s="6"/>
      <c r="J31" s="6"/>
      <c r="K31" s="51"/>
    </row>
    <row r="32" spans="2:15" ht="15" customHeight="1" x14ac:dyDescent="0.25">
      <c r="B32" s="2">
        <v>44710</v>
      </c>
      <c r="C32" s="10"/>
      <c r="D32" s="4"/>
      <c r="E32" s="20"/>
      <c r="F32" s="9"/>
      <c r="G32" s="9"/>
      <c r="H32" s="11"/>
      <c r="I32" s="6"/>
      <c r="J32" s="6"/>
      <c r="K32" s="51"/>
      <c r="M32" s="102" t="s">
        <v>24</v>
      </c>
      <c r="N32" s="103"/>
      <c r="O32" s="104"/>
    </row>
    <row r="33" spans="2:15" x14ac:dyDescent="0.25">
      <c r="B33" s="2">
        <v>44711</v>
      </c>
      <c r="C33" s="10"/>
      <c r="D33" s="4"/>
      <c r="E33" s="20"/>
      <c r="F33" s="9"/>
      <c r="G33" s="9"/>
      <c r="H33" s="11"/>
      <c r="I33" s="6"/>
      <c r="J33" s="6"/>
      <c r="K33" s="51"/>
      <c r="M33" s="105"/>
      <c r="N33" s="106"/>
      <c r="O33" s="107"/>
    </row>
    <row r="34" spans="2:15" x14ac:dyDescent="0.25">
      <c r="B34" s="2">
        <v>44712</v>
      </c>
      <c r="C34" s="10"/>
      <c r="D34" s="4"/>
      <c r="E34" s="20"/>
      <c r="F34" s="9"/>
      <c r="G34" s="9"/>
      <c r="H34" s="11"/>
      <c r="I34" s="6"/>
      <c r="J34" s="6"/>
      <c r="K34" s="51"/>
      <c r="M34" s="105"/>
      <c r="N34" s="106"/>
      <c r="O34" s="107"/>
    </row>
    <row r="35" spans="2:15" x14ac:dyDescent="0.25">
      <c r="B35" s="2">
        <v>44713</v>
      </c>
      <c r="C35" s="10"/>
      <c r="D35" s="4"/>
      <c r="E35" s="20"/>
      <c r="F35" s="9"/>
      <c r="G35" s="9"/>
      <c r="H35" s="11"/>
      <c r="I35" s="6"/>
      <c r="J35" s="6"/>
      <c r="K35" s="51"/>
      <c r="M35" s="108"/>
      <c r="N35" s="109"/>
      <c r="O35" s="110"/>
    </row>
    <row r="36" spans="2:15" x14ac:dyDescent="0.25">
      <c r="B36" s="2">
        <v>44714</v>
      </c>
      <c r="C36" s="10"/>
      <c r="D36" s="4"/>
      <c r="E36" s="20"/>
      <c r="F36" s="9"/>
      <c r="G36" s="9"/>
      <c r="H36" s="11"/>
      <c r="I36" s="6"/>
      <c r="J36" s="6"/>
      <c r="K36" s="51"/>
      <c r="M36" s="75"/>
      <c r="N36" s="90"/>
      <c r="O36" s="76"/>
    </row>
    <row r="37" spans="2:15" x14ac:dyDescent="0.25">
      <c r="B37" s="2">
        <v>44715</v>
      </c>
      <c r="C37" s="10"/>
      <c r="D37" s="4"/>
      <c r="E37" s="20"/>
      <c r="F37" s="9"/>
      <c r="G37" s="9"/>
      <c r="H37" s="11"/>
      <c r="I37" s="6"/>
      <c r="J37" s="6"/>
      <c r="K37" s="51"/>
      <c r="M37" s="77"/>
      <c r="N37" s="92"/>
      <c r="O37" s="78"/>
    </row>
    <row r="38" spans="2:15" x14ac:dyDescent="0.25">
      <c r="B38" s="2">
        <v>44716</v>
      </c>
      <c r="C38" s="10"/>
      <c r="D38" s="4"/>
      <c r="E38" s="20"/>
      <c r="F38" s="9"/>
      <c r="G38" s="9"/>
      <c r="H38" s="11"/>
      <c r="I38" s="6"/>
      <c r="J38" s="6"/>
      <c r="K38" s="51"/>
      <c r="M38" s="75"/>
      <c r="N38" s="90"/>
      <c r="O38" s="76"/>
    </row>
    <row r="39" spans="2:15" x14ac:dyDescent="0.25">
      <c r="B39" s="2">
        <v>44717</v>
      </c>
      <c r="C39" s="10"/>
      <c r="D39" s="4"/>
      <c r="E39" s="20"/>
      <c r="F39" s="9"/>
      <c r="G39" s="9"/>
      <c r="H39" s="11"/>
      <c r="I39" s="6"/>
      <c r="J39" s="6"/>
      <c r="K39" s="51"/>
      <c r="M39" s="77"/>
      <c r="N39" s="92"/>
      <c r="O39" s="78"/>
    </row>
    <row r="40" spans="2:15" x14ac:dyDescent="0.25">
      <c r="B40" s="2">
        <v>44718</v>
      </c>
      <c r="C40" s="10"/>
      <c r="D40" s="4"/>
      <c r="E40" s="20"/>
      <c r="F40" s="9"/>
      <c r="G40" s="9"/>
      <c r="H40" s="11"/>
      <c r="I40" s="6"/>
      <c r="J40" s="6"/>
      <c r="K40" s="51"/>
    </row>
    <row r="41" spans="2:15" ht="15" customHeight="1" x14ac:dyDescent="0.25">
      <c r="B41" s="2">
        <v>44719</v>
      </c>
      <c r="C41" s="10"/>
      <c r="D41" s="4"/>
      <c r="E41" s="20"/>
      <c r="F41" s="9"/>
      <c r="G41" s="9"/>
      <c r="H41" s="56"/>
      <c r="I41" s="6"/>
      <c r="J41" s="6"/>
      <c r="K41" s="51"/>
      <c r="M41" s="69" t="s">
        <v>35</v>
      </c>
      <c r="N41" s="70"/>
    </row>
    <row r="42" spans="2:15" x14ac:dyDescent="0.25">
      <c r="B42" s="2">
        <v>44720</v>
      </c>
      <c r="C42" s="10"/>
      <c r="D42" s="4"/>
      <c r="E42" s="20"/>
      <c r="F42" s="9"/>
      <c r="G42" s="9"/>
      <c r="H42" s="56"/>
      <c r="I42" s="6"/>
      <c r="J42" s="6"/>
      <c r="K42" s="51"/>
      <c r="M42" s="71"/>
      <c r="N42" s="72"/>
    </row>
    <row r="43" spans="2:15" x14ac:dyDescent="0.25">
      <c r="B43" s="2">
        <v>44721</v>
      </c>
      <c r="C43" s="10"/>
      <c r="D43" s="4"/>
      <c r="E43" s="20"/>
      <c r="F43" s="9"/>
      <c r="G43" s="9"/>
      <c r="H43" s="56"/>
      <c r="I43" s="6"/>
      <c r="J43" s="6"/>
      <c r="K43" s="51"/>
      <c r="M43" s="71"/>
      <c r="N43" s="72"/>
    </row>
    <row r="44" spans="2:15" x14ac:dyDescent="0.25">
      <c r="B44" s="2">
        <v>44722</v>
      </c>
      <c r="C44" s="10"/>
      <c r="D44" s="4"/>
      <c r="E44" s="20"/>
      <c r="F44" s="9"/>
      <c r="G44" s="9"/>
      <c r="H44" s="56"/>
      <c r="I44" s="6"/>
      <c r="J44" s="6"/>
      <c r="K44" s="51"/>
      <c r="M44" s="71"/>
      <c r="N44" s="72"/>
    </row>
    <row r="45" spans="2:15" x14ac:dyDescent="0.25">
      <c r="B45" s="2">
        <v>44723</v>
      </c>
      <c r="C45" s="10"/>
      <c r="D45" s="4"/>
      <c r="E45" s="20"/>
      <c r="F45" s="9"/>
      <c r="G45" s="9"/>
      <c r="H45" s="56"/>
      <c r="I45" s="6"/>
      <c r="J45" s="6"/>
      <c r="K45" s="51"/>
      <c r="M45" s="73"/>
      <c r="N45" s="74"/>
    </row>
    <row r="46" spans="2:15" ht="15" customHeight="1" x14ac:dyDescent="0.25">
      <c r="B46" s="2">
        <v>44724</v>
      </c>
      <c r="C46" s="10"/>
      <c r="D46" s="4"/>
      <c r="E46" s="20"/>
      <c r="F46" s="9"/>
      <c r="G46" s="9"/>
      <c r="H46" s="56"/>
      <c r="I46" s="6"/>
      <c r="J46" s="6"/>
      <c r="K46" s="51"/>
      <c r="M46" s="75"/>
      <c r="N46" s="76"/>
    </row>
    <row r="47" spans="2:15" x14ac:dyDescent="0.25">
      <c r="B47" s="2">
        <v>44725</v>
      </c>
      <c r="C47" s="10"/>
      <c r="D47" s="4"/>
      <c r="E47" s="20"/>
      <c r="F47" s="9"/>
      <c r="G47" s="9"/>
      <c r="H47" s="56"/>
      <c r="I47" s="6"/>
      <c r="J47" s="6"/>
      <c r="K47" s="51"/>
      <c r="M47" s="77"/>
      <c r="N47" s="78"/>
    </row>
    <row r="48" spans="2:15" x14ac:dyDescent="0.25">
      <c r="B48" s="2">
        <v>44726</v>
      </c>
      <c r="C48" s="10"/>
      <c r="D48" s="4"/>
      <c r="E48" s="20"/>
      <c r="F48" s="9"/>
      <c r="G48" s="9"/>
      <c r="H48" s="56"/>
      <c r="I48" s="6"/>
      <c r="J48" s="6"/>
      <c r="K48" s="51"/>
      <c r="M48" s="75"/>
      <c r="N48" s="76"/>
    </row>
    <row r="49" spans="2:14" x14ac:dyDescent="0.25">
      <c r="B49" s="2">
        <v>44727</v>
      </c>
      <c r="C49" s="10"/>
      <c r="D49" s="4"/>
      <c r="E49" s="20"/>
      <c r="F49" s="9"/>
      <c r="G49" s="9"/>
      <c r="H49" s="56"/>
      <c r="I49" s="6"/>
      <c r="J49" s="6"/>
      <c r="K49" s="51"/>
      <c r="M49" s="79"/>
      <c r="N49" s="80"/>
    </row>
    <row r="50" spans="2:14" x14ac:dyDescent="0.25">
      <c r="B50" s="2">
        <v>44728</v>
      </c>
      <c r="C50" s="10"/>
      <c r="D50" s="4"/>
      <c r="E50" s="20"/>
      <c r="F50" s="9"/>
      <c r="G50" s="9"/>
      <c r="H50" s="56"/>
      <c r="I50" s="6"/>
      <c r="J50" s="6"/>
      <c r="K50" s="51"/>
      <c r="M50" s="79"/>
      <c r="N50" s="80"/>
    </row>
    <row r="51" spans="2:14" x14ac:dyDescent="0.25">
      <c r="B51" s="2">
        <v>44729</v>
      </c>
      <c r="C51" s="10"/>
      <c r="D51" s="4"/>
      <c r="E51" s="20"/>
      <c r="F51" s="9"/>
      <c r="G51" s="9"/>
      <c r="H51" s="56"/>
      <c r="I51" s="6"/>
      <c r="J51" s="6"/>
      <c r="K51" s="51"/>
      <c r="M51" s="77"/>
      <c r="N51" s="78"/>
    </row>
    <row r="52" spans="2:14" x14ac:dyDescent="0.25">
      <c r="B52" s="2">
        <v>44730</v>
      </c>
      <c r="C52" s="10"/>
      <c r="D52" s="4"/>
      <c r="E52" s="20"/>
      <c r="F52" s="9"/>
      <c r="G52" s="9"/>
      <c r="H52" s="56"/>
      <c r="I52" s="6"/>
      <c r="J52" s="6"/>
      <c r="K52" s="51"/>
    </row>
    <row r="53" spans="2:14" x14ac:dyDescent="0.25">
      <c r="B53" s="2">
        <v>44731</v>
      </c>
      <c r="C53" s="10"/>
      <c r="D53" s="4"/>
      <c r="E53" s="20"/>
      <c r="F53" s="9"/>
      <c r="G53" s="9"/>
      <c r="H53" s="56"/>
      <c r="I53" s="6"/>
      <c r="J53" s="6"/>
      <c r="K53" s="51"/>
      <c r="M53" s="54" t="s">
        <v>25</v>
      </c>
      <c r="N53" t="s">
        <v>28</v>
      </c>
    </row>
    <row r="54" spans="2:14" x14ac:dyDescent="0.25">
      <c r="B54" s="2">
        <v>44732</v>
      </c>
      <c r="C54" s="10"/>
      <c r="D54" s="4"/>
      <c r="E54" s="20"/>
      <c r="F54" s="9"/>
      <c r="G54" s="9"/>
      <c r="H54" s="56"/>
      <c r="I54" s="6"/>
      <c r="J54" s="6"/>
      <c r="K54" s="51"/>
      <c r="M54" s="55" t="s">
        <v>26</v>
      </c>
      <c r="N54" s="50"/>
    </row>
    <row r="55" spans="2:14" x14ac:dyDescent="0.25">
      <c r="B55" s="2">
        <v>44733</v>
      </c>
      <c r="C55" s="10"/>
      <c r="D55" s="4"/>
      <c r="E55" s="20"/>
      <c r="F55" s="9"/>
      <c r="G55" s="9"/>
      <c r="H55" s="56"/>
      <c r="I55" s="6"/>
      <c r="J55" s="6"/>
      <c r="K55" s="51"/>
      <c r="M55" s="55" t="s">
        <v>45</v>
      </c>
      <c r="N55" s="50">
        <v>320</v>
      </c>
    </row>
    <row r="56" spans="2:14" x14ac:dyDescent="0.25">
      <c r="B56" s="2">
        <v>44734</v>
      </c>
      <c r="C56" s="10"/>
      <c r="D56" s="4"/>
      <c r="E56" s="20"/>
      <c r="F56" s="9"/>
      <c r="G56" s="9"/>
      <c r="H56" s="56"/>
      <c r="I56" s="6"/>
      <c r="J56" s="6"/>
      <c r="K56" s="51"/>
      <c r="M56" s="55" t="s">
        <v>27</v>
      </c>
      <c r="N56" s="50">
        <v>320</v>
      </c>
    </row>
    <row r="57" spans="2:14" x14ac:dyDescent="0.25">
      <c r="B57" s="2">
        <v>44735</v>
      </c>
      <c r="C57" s="10"/>
      <c r="D57" s="4"/>
      <c r="E57" s="20"/>
      <c r="F57" s="9"/>
      <c r="G57" s="9"/>
      <c r="H57" s="56"/>
      <c r="I57" s="6"/>
      <c r="J57" s="6"/>
      <c r="K57" s="51"/>
    </row>
    <row r="58" spans="2:14" x14ac:dyDescent="0.25">
      <c r="B58" s="2">
        <v>44736</v>
      </c>
      <c r="C58" s="10"/>
      <c r="D58" s="4"/>
      <c r="E58" s="20"/>
      <c r="F58" s="9"/>
      <c r="G58" s="9"/>
      <c r="H58" s="56"/>
      <c r="I58" s="6"/>
      <c r="J58" s="6"/>
      <c r="K58" s="51"/>
    </row>
    <row r="59" spans="2:14" x14ac:dyDescent="0.25">
      <c r="B59" s="2">
        <v>44737</v>
      </c>
      <c r="C59" s="10"/>
      <c r="D59" s="4"/>
      <c r="E59" s="20"/>
      <c r="F59" s="9"/>
      <c r="G59" s="9"/>
      <c r="H59" s="56"/>
      <c r="I59" s="6"/>
      <c r="J59" s="6"/>
      <c r="K59" s="51"/>
    </row>
    <row r="60" spans="2:14" x14ac:dyDescent="0.25">
      <c r="B60" s="2">
        <v>44738</v>
      </c>
      <c r="C60" s="10"/>
      <c r="D60" s="4"/>
      <c r="E60" s="20"/>
      <c r="F60" s="9"/>
      <c r="G60" s="9"/>
      <c r="H60" s="56"/>
      <c r="I60" s="6"/>
      <c r="J60" s="6"/>
      <c r="K60" s="51"/>
    </row>
    <row r="61" spans="2:14" x14ac:dyDescent="0.25">
      <c r="B61" s="2">
        <v>44739</v>
      </c>
      <c r="C61" s="10"/>
      <c r="D61" s="4"/>
      <c r="E61" s="20"/>
      <c r="F61" s="9"/>
      <c r="G61" s="9"/>
      <c r="H61" s="56"/>
      <c r="I61" s="6"/>
      <c r="J61" s="6"/>
      <c r="K61" s="51"/>
    </row>
    <row r="62" spans="2:14" x14ac:dyDescent="0.25">
      <c r="B62" s="2">
        <v>44740</v>
      </c>
      <c r="C62" s="10"/>
      <c r="D62" s="4"/>
      <c r="E62" s="20"/>
      <c r="F62" s="9"/>
      <c r="G62" s="9"/>
      <c r="H62" s="56"/>
      <c r="I62" s="6"/>
      <c r="J62" s="6"/>
      <c r="K62" s="51"/>
    </row>
    <row r="63" spans="2:14" x14ac:dyDescent="0.25">
      <c r="B63" s="2">
        <v>44741</v>
      </c>
      <c r="C63" s="10"/>
      <c r="D63" s="4"/>
      <c r="E63" s="20"/>
      <c r="F63" s="9"/>
      <c r="G63" s="9"/>
      <c r="H63" s="56"/>
      <c r="I63" s="6"/>
      <c r="J63" s="6"/>
      <c r="K63" s="51"/>
    </row>
    <row r="64" spans="2:14" x14ac:dyDescent="0.25">
      <c r="B64" s="2">
        <v>44742</v>
      </c>
      <c r="C64" s="10"/>
      <c r="D64" s="4"/>
      <c r="E64" s="20"/>
      <c r="F64" s="9"/>
      <c r="G64" s="9"/>
      <c r="H64" s="56"/>
      <c r="I64" s="6"/>
      <c r="J64" s="6"/>
      <c r="K64" s="51"/>
    </row>
    <row r="65" spans="2:11" x14ac:dyDescent="0.25">
      <c r="B65" s="2">
        <v>44743</v>
      </c>
      <c r="C65" s="10"/>
      <c r="D65" s="4"/>
      <c r="E65" s="20"/>
      <c r="F65" s="9"/>
      <c r="G65" s="9"/>
      <c r="H65" s="56"/>
      <c r="I65" s="6"/>
      <c r="J65" s="6"/>
      <c r="K65" s="51"/>
    </row>
    <row r="66" spans="2:11" x14ac:dyDescent="0.25">
      <c r="B66" s="2">
        <v>44744</v>
      </c>
      <c r="C66" s="10"/>
      <c r="D66" s="4"/>
      <c r="E66" s="20"/>
      <c r="F66" s="9"/>
      <c r="G66" s="9"/>
      <c r="H66" s="56"/>
      <c r="I66" s="6"/>
      <c r="J66" s="6"/>
      <c r="K66" s="51"/>
    </row>
    <row r="67" spans="2:11" x14ac:dyDescent="0.25">
      <c r="B67" s="2">
        <v>44745</v>
      </c>
      <c r="C67" s="10"/>
      <c r="D67" s="4"/>
      <c r="E67" s="20"/>
      <c r="F67" s="9"/>
      <c r="G67" s="9"/>
      <c r="H67" s="56"/>
      <c r="I67" s="6"/>
      <c r="J67" s="6"/>
      <c r="K67" s="51"/>
    </row>
    <row r="68" spans="2:11" x14ac:dyDescent="0.25">
      <c r="B68" s="2">
        <v>44746</v>
      </c>
      <c r="C68" s="10"/>
      <c r="D68" s="4"/>
      <c r="E68" s="20"/>
      <c r="F68" s="9"/>
      <c r="G68" s="9"/>
      <c r="H68" s="56"/>
      <c r="I68" s="6"/>
      <c r="J68" s="6"/>
      <c r="K68" s="51"/>
    </row>
    <row r="69" spans="2:11" x14ac:dyDescent="0.25">
      <c r="B69" s="2">
        <v>44747</v>
      </c>
      <c r="C69" s="10"/>
      <c r="D69" s="4"/>
      <c r="E69" s="20"/>
      <c r="F69" s="9"/>
      <c r="G69" s="9"/>
      <c r="H69" s="56"/>
      <c r="I69" s="6"/>
      <c r="J69" s="6"/>
      <c r="K69" s="51"/>
    </row>
    <row r="70" spans="2:11" x14ac:dyDescent="0.25">
      <c r="B70" s="2">
        <v>44748</v>
      </c>
      <c r="C70" s="10"/>
      <c r="D70" s="4"/>
      <c r="E70" s="20"/>
      <c r="F70" s="9"/>
      <c r="G70" s="9"/>
      <c r="H70" s="56"/>
      <c r="I70" s="6"/>
      <c r="J70" s="6"/>
      <c r="K70" s="51"/>
    </row>
    <row r="71" spans="2:11" x14ac:dyDescent="0.25">
      <c r="B71" s="2">
        <v>44749</v>
      </c>
      <c r="C71" s="10"/>
      <c r="D71" s="4"/>
      <c r="E71" s="20"/>
      <c r="F71" s="9"/>
      <c r="G71" s="9"/>
      <c r="H71" s="56"/>
      <c r="I71" s="6"/>
      <c r="J71" s="6"/>
      <c r="K71" s="51"/>
    </row>
    <row r="72" spans="2:11" x14ac:dyDescent="0.25">
      <c r="B72" s="2">
        <v>44750</v>
      </c>
      <c r="C72" s="10"/>
      <c r="D72" s="4"/>
      <c r="E72" s="20"/>
      <c r="F72" s="9"/>
      <c r="G72" s="9"/>
      <c r="H72" s="56"/>
      <c r="I72" s="6"/>
      <c r="J72" s="6"/>
      <c r="K72" s="51"/>
    </row>
    <row r="73" spans="2:11" x14ac:dyDescent="0.25">
      <c r="B73" s="2">
        <v>44751</v>
      </c>
      <c r="C73" s="10"/>
      <c r="D73" s="4"/>
      <c r="E73" s="20"/>
      <c r="F73" s="9"/>
      <c r="G73" s="9"/>
      <c r="H73" s="56"/>
      <c r="I73" s="6"/>
      <c r="J73" s="6"/>
      <c r="K73" s="51"/>
    </row>
    <row r="74" spans="2:11" x14ac:dyDescent="0.25">
      <c r="B74" s="2">
        <v>44752</v>
      </c>
      <c r="C74" s="10"/>
      <c r="D74" s="4"/>
      <c r="E74" s="20"/>
      <c r="F74" s="9"/>
      <c r="G74" s="9"/>
      <c r="H74" s="56"/>
      <c r="I74" s="6"/>
      <c r="J74" s="6"/>
      <c r="K74" s="51"/>
    </row>
    <row r="75" spans="2:11" x14ac:dyDescent="0.25">
      <c r="B75" s="2">
        <v>44753</v>
      </c>
      <c r="C75" s="10"/>
      <c r="D75" s="4"/>
      <c r="E75" s="20"/>
      <c r="F75" s="9"/>
      <c r="G75" s="9"/>
      <c r="H75" s="56"/>
      <c r="I75" s="6"/>
      <c r="J75" s="6"/>
      <c r="K75" s="51"/>
    </row>
    <row r="76" spans="2:11" x14ac:dyDescent="0.25">
      <c r="B76" s="2">
        <v>44754</v>
      </c>
      <c r="C76" s="10"/>
      <c r="D76" s="4"/>
      <c r="E76" s="20"/>
      <c r="F76" s="9"/>
      <c r="G76" s="9"/>
      <c r="H76" s="56"/>
      <c r="I76" s="6"/>
      <c r="J76" s="6"/>
      <c r="K76" s="51"/>
    </row>
    <row r="77" spans="2:11" x14ac:dyDescent="0.25">
      <c r="B77" s="2">
        <v>44755</v>
      </c>
      <c r="C77" s="10"/>
      <c r="D77" s="4"/>
      <c r="E77" s="20"/>
      <c r="F77" s="9"/>
      <c r="G77" s="9"/>
      <c r="H77" s="56"/>
      <c r="I77" s="6"/>
      <c r="J77" s="6"/>
      <c r="K77" s="51"/>
    </row>
    <row r="78" spans="2:11" x14ac:dyDescent="0.25">
      <c r="B78" s="2">
        <v>44756</v>
      </c>
      <c r="C78" s="10"/>
      <c r="D78" s="4"/>
      <c r="E78" s="20"/>
      <c r="F78" s="9"/>
      <c r="G78" s="9"/>
      <c r="H78" s="56"/>
      <c r="I78" s="6"/>
      <c r="J78" s="6"/>
      <c r="K78" s="51"/>
    </row>
    <row r="79" spans="2:11" x14ac:dyDescent="0.25">
      <c r="B79" s="2">
        <v>44757</v>
      </c>
      <c r="C79" s="10"/>
      <c r="D79" s="4"/>
      <c r="E79" s="20"/>
      <c r="F79" s="9"/>
      <c r="G79" s="9"/>
      <c r="H79" s="56"/>
      <c r="I79" s="6"/>
      <c r="J79" s="6"/>
      <c r="K79" s="51"/>
    </row>
    <row r="80" spans="2:11" x14ac:dyDescent="0.25">
      <c r="B80" s="2">
        <v>44758</v>
      </c>
      <c r="C80" s="10"/>
      <c r="D80" s="4"/>
      <c r="E80" s="20"/>
      <c r="F80" s="9"/>
      <c r="G80" s="9"/>
      <c r="H80" s="56"/>
      <c r="I80" s="6"/>
      <c r="J80" s="6"/>
      <c r="K80" s="51"/>
    </row>
    <row r="81" spans="2:11" x14ac:dyDescent="0.25">
      <c r="B81" s="2">
        <v>44759</v>
      </c>
      <c r="C81" s="10"/>
      <c r="D81" s="4"/>
      <c r="E81" s="20"/>
      <c r="F81" s="9"/>
      <c r="G81" s="9"/>
      <c r="H81" s="56"/>
      <c r="I81" s="6"/>
      <c r="J81" s="6"/>
      <c r="K81" s="51"/>
    </row>
    <row r="82" spans="2:11" x14ac:dyDescent="0.25">
      <c r="B82" s="2">
        <v>44760</v>
      </c>
      <c r="C82" s="10"/>
      <c r="D82" s="4"/>
      <c r="E82" s="20"/>
      <c r="F82" s="9"/>
      <c r="G82" s="9"/>
      <c r="H82" s="56"/>
      <c r="I82" s="6"/>
      <c r="J82" s="6"/>
      <c r="K82" s="51"/>
    </row>
    <row r="83" spans="2:11" x14ac:dyDescent="0.25">
      <c r="B83" s="2">
        <v>44761</v>
      </c>
      <c r="C83" s="10"/>
      <c r="D83" s="4"/>
      <c r="E83" s="20"/>
      <c r="F83" s="9"/>
      <c r="G83" s="9"/>
      <c r="H83" s="56"/>
      <c r="I83" s="6"/>
      <c r="J83" s="6"/>
      <c r="K83" s="51"/>
    </row>
    <row r="84" spans="2:11" x14ac:dyDescent="0.25">
      <c r="B84" s="2">
        <v>44762</v>
      </c>
      <c r="C84" s="10"/>
      <c r="D84" s="4"/>
      <c r="E84" s="20"/>
      <c r="F84" s="9"/>
      <c r="G84" s="9"/>
      <c r="H84" s="56"/>
      <c r="I84" s="6"/>
      <c r="J84" s="6"/>
      <c r="K84" s="51"/>
    </row>
    <row r="85" spans="2:11" x14ac:dyDescent="0.25">
      <c r="B85" s="2">
        <v>44763</v>
      </c>
      <c r="C85" s="10"/>
      <c r="D85" s="4"/>
      <c r="E85" s="20"/>
      <c r="F85" s="9"/>
      <c r="G85" s="9"/>
      <c r="H85" s="56"/>
      <c r="I85" s="6"/>
      <c r="J85" s="6"/>
      <c r="K85" s="51"/>
    </row>
    <row r="86" spans="2:11" x14ac:dyDescent="0.25">
      <c r="B86" s="2">
        <v>44764</v>
      </c>
      <c r="C86" s="10"/>
      <c r="D86" s="4"/>
      <c r="E86" s="20"/>
      <c r="F86" s="9"/>
      <c r="G86" s="9"/>
      <c r="H86" s="56"/>
      <c r="I86" s="6"/>
      <c r="J86" s="6"/>
      <c r="K86" s="51"/>
    </row>
    <row r="87" spans="2:11" x14ac:dyDescent="0.25">
      <c r="B87" s="2">
        <v>44765</v>
      </c>
      <c r="C87" s="10"/>
      <c r="D87" s="4"/>
      <c r="E87" s="20"/>
      <c r="F87" s="9"/>
      <c r="G87" s="9"/>
      <c r="H87" s="56"/>
      <c r="I87" s="6"/>
      <c r="J87" s="6"/>
      <c r="K87" s="51"/>
    </row>
    <row r="88" spans="2:11" x14ac:dyDescent="0.25">
      <c r="B88" s="2">
        <v>44766</v>
      </c>
      <c r="C88" s="10"/>
      <c r="D88" s="4"/>
      <c r="E88" s="20"/>
      <c r="F88" s="9"/>
      <c r="G88" s="9"/>
      <c r="H88" s="56"/>
      <c r="I88" s="6"/>
      <c r="J88" s="6"/>
      <c r="K88" s="51"/>
    </row>
    <row r="89" spans="2:11" x14ac:dyDescent="0.25">
      <c r="B89" s="2">
        <v>44767</v>
      </c>
      <c r="C89" s="10"/>
      <c r="D89" s="4"/>
      <c r="E89" s="20"/>
      <c r="F89" s="9"/>
      <c r="G89" s="9"/>
      <c r="H89" s="56"/>
      <c r="I89" s="6"/>
      <c r="J89" s="6"/>
      <c r="K89" s="51"/>
    </row>
    <row r="90" spans="2:11" x14ac:dyDescent="0.25">
      <c r="B90" s="2">
        <v>44768</v>
      </c>
      <c r="C90" s="10"/>
      <c r="D90" s="4"/>
      <c r="E90" s="20"/>
      <c r="F90" s="9"/>
      <c r="G90" s="9"/>
      <c r="H90" s="56"/>
      <c r="I90" s="6"/>
      <c r="J90" s="6"/>
      <c r="K90" s="51"/>
    </row>
    <row r="91" spans="2:11" x14ac:dyDescent="0.25">
      <c r="B91" s="2">
        <v>44769</v>
      </c>
      <c r="C91" s="10"/>
      <c r="D91" s="4"/>
      <c r="E91" s="20"/>
      <c r="F91" s="9"/>
      <c r="G91" s="9"/>
      <c r="H91" s="56"/>
      <c r="I91" s="6"/>
      <c r="J91" s="6"/>
      <c r="K91" s="51"/>
    </row>
    <row r="92" spans="2:11" x14ac:dyDescent="0.25">
      <c r="B92" s="2">
        <v>44770</v>
      </c>
      <c r="C92" s="10"/>
      <c r="D92" s="4"/>
      <c r="E92" s="20"/>
      <c r="F92" s="9"/>
      <c r="G92" s="9"/>
      <c r="H92" s="56"/>
      <c r="I92" s="6"/>
      <c r="J92" s="6"/>
      <c r="K92" s="51"/>
    </row>
    <row r="93" spans="2:11" x14ac:dyDescent="0.25">
      <c r="B93" s="2">
        <v>44771</v>
      </c>
      <c r="C93" s="10"/>
      <c r="D93" s="4"/>
      <c r="E93" s="20"/>
      <c r="F93" s="9"/>
      <c r="G93" s="9"/>
      <c r="H93" s="56"/>
      <c r="I93" s="6"/>
      <c r="J93" s="6"/>
      <c r="K93" s="51"/>
    </row>
    <row r="94" spans="2:11" x14ac:dyDescent="0.25">
      <c r="B94" s="2">
        <v>44772</v>
      </c>
      <c r="C94" s="10"/>
      <c r="D94" s="4"/>
      <c r="E94" s="20"/>
      <c r="F94" s="9"/>
      <c r="G94" s="9"/>
      <c r="H94" s="56"/>
      <c r="I94" s="6"/>
      <c r="J94" s="6"/>
      <c r="K94" s="51"/>
    </row>
    <row r="95" spans="2:11" x14ac:dyDescent="0.25">
      <c r="B95" s="2">
        <v>44773</v>
      </c>
      <c r="C95" s="10"/>
      <c r="D95" s="4"/>
      <c r="E95" s="20"/>
      <c r="F95" s="9"/>
      <c r="G95" s="9"/>
      <c r="H95" s="56"/>
      <c r="I95" s="6"/>
      <c r="J95" s="6"/>
      <c r="K95" s="51"/>
    </row>
    <row r="96" spans="2:11" x14ac:dyDescent="0.25">
      <c r="B96" s="2">
        <v>44774</v>
      </c>
      <c r="C96" s="10"/>
      <c r="D96" s="4"/>
      <c r="E96" s="20"/>
      <c r="F96" s="9"/>
      <c r="G96" s="9"/>
      <c r="H96" s="56"/>
      <c r="I96" s="6"/>
      <c r="J96" s="6"/>
      <c r="K96" s="51"/>
    </row>
    <row r="97" spans="2:11" x14ac:dyDescent="0.25">
      <c r="B97" s="2">
        <v>44775</v>
      </c>
      <c r="C97" s="10"/>
      <c r="D97" s="4"/>
      <c r="E97" s="20"/>
      <c r="F97" s="9"/>
      <c r="G97" s="9"/>
      <c r="H97" s="56"/>
      <c r="I97" s="6"/>
      <c r="J97" s="6"/>
      <c r="K97" s="51"/>
    </row>
    <row r="98" spans="2:11" x14ac:dyDescent="0.25">
      <c r="B98" s="2">
        <v>44776</v>
      </c>
      <c r="C98" s="10"/>
      <c r="D98" s="4"/>
      <c r="E98" s="20"/>
      <c r="F98" s="9"/>
      <c r="G98" s="9"/>
      <c r="H98" s="56"/>
      <c r="I98" s="6"/>
      <c r="J98" s="6"/>
      <c r="K98" s="51"/>
    </row>
    <row r="99" spans="2:11" x14ac:dyDescent="0.25">
      <c r="B99" s="2">
        <v>44777</v>
      </c>
      <c r="C99" s="10"/>
      <c r="D99" s="4"/>
      <c r="E99" s="20"/>
      <c r="F99" s="9"/>
      <c r="G99" s="9"/>
      <c r="H99" s="56"/>
      <c r="I99" s="6"/>
      <c r="J99" s="6"/>
      <c r="K99" s="51"/>
    </row>
    <row r="100" spans="2:11" x14ac:dyDescent="0.25">
      <c r="B100" s="2">
        <v>44778</v>
      </c>
      <c r="C100" s="10"/>
      <c r="D100" s="4"/>
      <c r="E100" s="20"/>
      <c r="F100" s="9"/>
      <c r="G100" s="9"/>
      <c r="H100" s="56"/>
      <c r="I100" s="6"/>
      <c r="J100" s="6"/>
      <c r="K100" s="51"/>
    </row>
    <row r="101" spans="2:11" x14ac:dyDescent="0.25">
      <c r="B101" s="2">
        <v>44779</v>
      </c>
      <c r="C101" s="10"/>
      <c r="D101" s="4"/>
      <c r="E101" s="20"/>
      <c r="F101" s="9"/>
      <c r="G101" s="9"/>
      <c r="H101" s="56"/>
      <c r="I101" s="6"/>
      <c r="J101" s="6"/>
      <c r="K101" s="51"/>
    </row>
    <row r="102" spans="2:11" x14ac:dyDescent="0.25">
      <c r="B102" s="2">
        <v>44780</v>
      </c>
      <c r="C102" s="10"/>
      <c r="D102" s="4"/>
      <c r="E102" s="20"/>
      <c r="F102" s="9"/>
      <c r="G102" s="9"/>
      <c r="H102" s="56"/>
      <c r="I102" s="6"/>
      <c r="J102" s="6"/>
      <c r="K102" s="51"/>
    </row>
    <row r="103" spans="2:11" x14ac:dyDescent="0.25">
      <c r="B103" s="2">
        <v>44781</v>
      </c>
      <c r="C103" s="10"/>
      <c r="D103" s="4"/>
      <c r="E103" s="20"/>
      <c r="F103" s="9"/>
      <c r="G103" s="9"/>
      <c r="H103" s="56"/>
      <c r="I103" s="6"/>
      <c r="J103" s="6"/>
      <c r="K103" s="51"/>
    </row>
    <row r="104" spans="2:11" x14ac:dyDescent="0.25">
      <c r="B104" s="2">
        <v>44782</v>
      </c>
      <c r="C104" s="10"/>
      <c r="D104" s="4"/>
      <c r="E104" s="20"/>
      <c r="F104" s="9"/>
      <c r="G104" s="9"/>
      <c r="H104" s="56"/>
      <c r="I104" s="6"/>
      <c r="J104" s="6"/>
      <c r="K104" s="51"/>
    </row>
    <row r="105" spans="2:11" x14ac:dyDescent="0.25">
      <c r="B105" s="2">
        <v>44783</v>
      </c>
      <c r="C105" s="10"/>
      <c r="D105" s="4"/>
      <c r="E105" s="20"/>
      <c r="F105" s="9"/>
      <c r="G105" s="9"/>
      <c r="H105" s="56"/>
      <c r="I105" s="6"/>
      <c r="J105" s="6"/>
      <c r="K105" s="51"/>
    </row>
    <row r="106" spans="2:11" x14ac:dyDescent="0.25">
      <c r="B106" s="2">
        <v>44784</v>
      </c>
      <c r="C106" s="10"/>
      <c r="D106" s="4"/>
      <c r="E106" s="20"/>
      <c r="F106" s="9"/>
      <c r="G106" s="9"/>
      <c r="H106" s="56"/>
      <c r="I106" s="6"/>
      <c r="J106" s="6"/>
      <c r="K106" s="51"/>
    </row>
    <row r="107" spans="2:11" x14ac:dyDescent="0.25">
      <c r="B107" s="2">
        <v>44785</v>
      </c>
      <c r="C107" s="10"/>
      <c r="D107" s="4"/>
      <c r="E107" s="20"/>
      <c r="F107" s="9"/>
      <c r="G107" s="9"/>
      <c r="H107" s="56"/>
      <c r="I107" s="6"/>
      <c r="J107" s="6"/>
      <c r="K107" s="51"/>
    </row>
    <row r="108" spans="2:11" x14ac:dyDescent="0.25">
      <c r="B108" s="2">
        <v>44786</v>
      </c>
      <c r="C108" s="10"/>
      <c r="D108" s="4"/>
      <c r="E108" s="20"/>
      <c r="F108" s="9"/>
      <c r="G108" s="9"/>
      <c r="H108" s="56"/>
      <c r="I108" s="6"/>
      <c r="J108" s="6"/>
      <c r="K108" s="51"/>
    </row>
    <row r="109" spans="2:11" x14ac:dyDescent="0.25">
      <c r="B109" s="2">
        <v>44787</v>
      </c>
      <c r="C109" s="10"/>
      <c r="D109" s="4"/>
      <c r="E109" s="20"/>
      <c r="F109" s="9"/>
      <c r="G109" s="9"/>
      <c r="H109" s="56"/>
      <c r="I109" s="6"/>
      <c r="J109" s="6"/>
      <c r="K109" s="51"/>
    </row>
    <row r="110" spans="2:11" x14ac:dyDescent="0.25">
      <c r="B110" s="2">
        <v>44788</v>
      </c>
      <c r="C110" s="10"/>
      <c r="D110" s="4"/>
      <c r="E110" s="20"/>
      <c r="F110" s="9"/>
      <c r="G110" s="9"/>
      <c r="H110" s="56"/>
      <c r="I110" s="6"/>
      <c r="J110" s="6"/>
      <c r="K110" s="51"/>
    </row>
    <row r="111" spans="2:11" x14ac:dyDescent="0.25">
      <c r="B111" s="2">
        <v>44789</v>
      </c>
      <c r="C111" s="10"/>
      <c r="D111" s="4"/>
      <c r="E111" s="20"/>
      <c r="F111" s="9"/>
      <c r="G111" s="9"/>
      <c r="H111" s="56"/>
      <c r="I111" s="6"/>
      <c r="J111" s="6"/>
      <c r="K111" s="51"/>
    </row>
    <row r="112" spans="2:11" x14ac:dyDescent="0.25">
      <c r="B112" s="2">
        <v>44790</v>
      </c>
      <c r="C112" s="10"/>
      <c r="D112" s="4"/>
      <c r="E112" s="20"/>
      <c r="F112" s="9"/>
      <c r="G112" s="9"/>
      <c r="H112" s="56"/>
      <c r="I112" s="6"/>
      <c r="J112" s="6"/>
      <c r="K112" s="51"/>
    </row>
    <row r="113" spans="2:11" x14ac:dyDescent="0.25">
      <c r="B113" s="2">
        <v>44791</v>
      </c>
      <c r="C113" s="10"/>
      <c r="D113" s="4"/>
      <c r="E113" s="20"/>
      <c r="F113" s="9"/>
      <c r="G113" s="9"/>
      <c r="H113" s="56"/>
      <c r="I113" s="6"/>
      <c r="J113" s="6"/>
      <c r="K113" s="51"/>
    </row>
    <row r="114" spans="2:11" x14ac:dyDescent="0.25">
      <c r="B114" s="2">
        <v>44792</v>
      </c>
      <c r="C114" s="10"/>
      <c r="D114" s="4"/>
      <c r="E114" s="20"/>
      <c r="F114" s="9"/>
      <c r="G114" s="9"/>
      <c r="H114" s="56"/>
      <c r="I114" s="6"/>
      <c r="J114" s="6"/>
      <c r="K114" s="51"/>
    </row>
    <row r="115" spans="2:11" x14ac:dyDescent="0.25">
      <c r="B115" s="2">
        <v>44793</v>
      </c>
      <c r="C115" s="10"/>
      <c r="D115" s="4"/>
      <c r="E115" s="20"/>
      <c r="F115" s="9"/>
      <c r="G115" s="9"/>
      <c r="H115" s="56"/>
      <c r="I115" s="6"/>
      <c r="J115" s="6"/>
      <c r="K115" s="51"/>
    </row>
    <row r="116" spans="2:11" x14ac:dyDescent="0.25">
      <c r="B116" s="2">
        <v>44794</v>
      </c>
      <c r="C116" s="10"/>
      <c r="D116" s="4"/>
      <c r="E116" s="20"/>
      <c r="F116" s="9"/>
      <c r="G116" s="9"/>
      <c r="H116" s="56"/>
      <c r="I116" s="6"/>
      <c r="J116" s="6"/>
      <c r="K116" s="51"/>
    </row>
    <row r="117" spans="2:11" x14ac:dyDescent="0.25">
      <c r="B117" s="2">
        <v>44795</v>
      </c>
      <c r="C117" s="10"/>
      <c r="D117" s="4"/>
      <c r="E117" s="20"/>
      <c r="F117" s="9"/>
      <c r="G117" s="9"/>
      <c r="H117" s="56"/>
      <c r="I117" s="6"/>
      <c r="J117" s="6"/>
      <c r="K117" s="51"/>
    </row>
    <row r="118" spans="2:11" x14ac:dyDescent="0.25">
      <c r="B118" s="2">
        <v>44796</v>
      </c>
      <c r="C118" s="10"/>
      <c r="D118" s="4"/>
      <c r="E118" s="20"/>
      <c r="F118" s="9"/>
      <c r="G118" s="9"/>
      <c r="H118" s="56"/>
      <c r="I118" s="6"/>
      <c r="J118" s="6"/>
      <c r="K118" s="51"/>
    </row>
    <row r="119" spans="2:11" x14ac:dyDescent="0.25">
      <c r="B119" s="2">
        <v>44797</v>
      </c>
      <c r="C119" s="10"/>
      <c r="D119" s="4"/>
      <c r="E119" s="20"/>
      <c r="F119" s="9"/>
      <c r="G119" s="9"/>
      <c r="H119" s="56"/>
      <c r="I119" s="6"/>
      <c r="J119" s="6"/>
      <c r="K119" s="51"/>
    </row>
    <row r="120" spans="2:11" x14ac:dyDescent="0.25">
      <c r="B120" s="2">
        <v>44798</v>
      </c>
      <c r="C120" s="10"/>
      <c r="D120" s="4"/>
      <c r="E120" s="20"/>
      <c r="F120" s="9"/>
      <c r="G120" s="9"/>
      <c r="H120" s="56"/>
      <c r="I120" s="6"/>
      <c r="J120" s="6"/>
      <c r="K120" s="51"/>
    </row>
    <row r="121" spans="2:11" x14ac:dyDescent="0.25">
      <c r="B121" s="2">
        <v>44799</v>
      </c>
      <c r="C121" s="10"/>
      <c r="D121" s="4"/>
      <c r="E121" s="20"/>
      <c r="F121" s="9"/>
      <c r="G121" s="9"/>
      <c r="H121" s="56"/>
      <c r="I121" s="6"/>
      <c r="J121" s="6"/>
      <c r="K121" s="51"/>
    </row>
    <row r="122" spans="2:11" x14ac:dyDescent="0.25">
      <c r="B122" s="2">
        <v>44800</v>
      </c>
      <c r="C122" s="10"/>
      <c r="D122" s="4"/>
      <c r="E122" s="20"/>
      <c r="F122" s="9"/>
      <c r="G122" s="9"/>
      <c r="H122" s="56"/>
      <c r="I122" s="6"/>
      <c r="J122" s="6"/>
      <c r="K122" s="51"/>
    </row>
    <row r="123" spans="2:11" x14ac:dyDescent="0.25">
      <c r="B123" s="2">
        <v>44801</v>
      </c>
      <c r="C123" s="10"/>
      <c r="D123" s="4"/>
      <c r="E123" s="20"/>
      <c r="F123" s="9"/>
      <c r="G123" s="9"/>
      <c r="H123" s="56"/>
      <c r="I123" s="6"/>
      <c r="J123" s="6"/>
      <c r="K123" s="51"/>
    </row>
    <row r="124" spans="2:11" x14ac:dyDescent="0.25">
      <c r="B124" s="2">
        <v>44802</v>
      </c>
      <c r="C124" s="10"/>
      <c r="D124" s="4"/>
      <c r="E124" s="20"/>
      <c r="F124" s="9"/>
      <c r="G124" s="9"/>
      <c r="H124" s="56"/>
      <c r="I124" s="6"/>
      <c r="J124" s="6"/>
      <c r="K124" s="51"/>
    </row>
    <row r="125" spans="2:11" x14ac:dyDescent="0.25">
      <c r="B125" s="2">
        <v>44803</v>
      </c>
      <c r="C125" s="10"/>
      <c r="D125" s="4"/>
      <c r="E125" s="20"/>
      <c r="F125" s="9"/>
      <c r="G125" s="9"/>
      <c r="H125" s="56"/>
      <c r="I125" s="6"/>
      <c r="J125" s="6"/>
      <c r="K125" s="51"/>
    </row>
    <row r="126" spans="2:11" x14ac:dyDescent="0.25">
      <c r="B126" s="2">
        <v>44804</v>
      </c>
      <c r="C126" s="10"/>
      <c r="D126" s="4"/>
      <c r="E126" s="20"/>
      <c r="F126" s="9"/>
      <c r="G126" s="9"/>
      <c r="H126" s="56"/>
      <c r="I126" s="6"/>
      <c r="J126" s="6"/>
      <c r="K126" s="51"/>
    </row>
    <row r="127" spans="2:11" x14ac:dyDescent="0.25">
      <c r="B127" s="2">
        <v>44805</v>
      </c>
      <c r="C127" s="10"/>
      <c r="D127" s="4"/>
      <c r="E127" s="20"/>
      <c r="F127" s="9"/>
      <c r="G127" s="9"/>
      <c r="H127" s="56"/>
      <c r="I127" s="6"/>
      <c r="J127" s="6"/>
      <c r="K127" s="51"/>
    </row>
    <row r="128" spans="2:11" x14ac:dyDescent="0.25">
      <c r="B128" s="2">
        <v>44806</v>
      </c>
      <c r="C128" s="10"/>
      <c r="D128" s="4"/>
      <c r="E128" s="20"/>
      <c r="F128" s="9"/>
      <c r="G128" s="9"/>
      <c r="H128" s="56"/>
      <c r="I128" s="6"/>
      <c r="J128" s="6"/>
      <c r="K128" s="51"/>
    </row>
    <row r="129" spans="2:11" x14ac:dyDescent="0.25">
      <c r="B129" s="2">
        <v>44807</v>
      </c>
      <c r="C129" s="10"/>
      <c r="D129" s="4"/>
      <c r="E129" s="20"/>
      <c r="F129" s="9"/>
      <c r="G129" s="9"/>
      <c r="H129" s="56"/>
      <c r="I129" s="6"/>
      <c r="J129" s="6"/>
      <c r="K129" s="51"/>
    </row>
    <row r="130" spans="2:11" x14ac:dyDescent="0.25">
      <c r="B130" s="2">
        <v>44808</v>
      </c>
      <c r="C130" s="10"/>
      <c r="D130" s="4"/>
      <c r="E130" s="20"/>
      <c r="F130" s="9"/>
      <c r="G130" s="9"/>
      <c r="H130" s="56"/>
      <c r="I130" s="6"/>
      <c r="J130" s="6"/>
      <c r="K130" s="51"/>
    </row>
    <row r="131" spans="2:11" x14ac:dyDescent="0.25">
      <c r="B131" s="2">
        <v>44809</v>
      </c>
      <c r="C131" s="10"/>
      <c r="D131" s="4"/>
      <c r="E131" s="20"/>
      <c r="F131" s="9"/>
      <c r="G131" s="9"/>
      <c r="H131" s="56"/>
      <c r="I131" s="6"/>
      <c r="J131" s="6"/>
      <c r="K131" s="51"/>
    </row>
    <row r="132" spans="2:11" x14ac:dyDescent="0.25">
      <c r="B132" s="2">
        <v>44810</v>
      </c>
      <c r="C132" s="10"/>
      <c r="D132" s="4"/>
      <c r="E132" s="20"/>
      <c r="F132" s="9"/>
      <c r="G132" s="9"/>
      <c r="H132" s="56"/>
      <c r="I132" s="6"/>
      <c r="J132" s="6"/>
      <c r="K132" s="51"/>
    </row>
    <row r="133" spans="2:11" x14ac:dyDescent="0.25">
      <c r="B133" s="2">
        <v>44811</v>
      </c>
      <c r="C133" s="10"/>
      <c r="D133" s="4"/>
      <c r="E133" s="20"/>
      <c r="F133" s="9"/>
      <c r="G133" s="9"/>
      <c r="H133" s="56"/>
      <c r="I133" s="6"/>
      <c r="J133" s="6"/>
      <c r="K133" s="51"/>
    </row>
    <row r="134" spans="2:11" x14ac:dyDescent="0.25">
      <c r="B134" s="2">
        <v>44812</v>
      </c>
      <c r="C134" s="10"/>
      <c r="D134" s="4"/>
      <c r="E134" s="20"/>
      <c r="F134" s="9"/>
      <c r="G134" s="9"/>
      <c r="H134" s="56"/>
      <c r="I134" s="6"/>
      <c r="J134" s="6"/>
      <c r="K134" s="51"/>
    </row>
    <row r="135" spans="2:11" x14ac:dyDescent="0.25">
      <c r="B135" s="2">
        <v>44813</v>
      </c>
      <c r="C135" s="10"/>
      <c r="D135" s="4"/>
      <c r="E135" s="20"/>
      <c r="F135" s="9"/>
      <c r="G135" s="9"/>
      <c r="H135" s="56"/>
      <c r="I135" s="6"/>
      <c r="J135" s="6"/>
      <c r="K135" s="51"/>
    </row>
    <row r="136" spans="2:11" x14ac:dyDescent="0.25">
      <c r="B136" s="2">
        <v>44814</v>
      </c>
      <c r="C136" s="10"/>
      <c r="D136" s="4"/>
      <c r="E136" s="20"/>
      <c r="F136" s="9"/>
      <c r="G136" s="9"/>
      <c r="H136" s="56"/>
      <c r="I136" s="6"/>
      <c r="J136" s="6"/>
      <c r="K136" s="51"/>
    </row>
    <row r="137" spans="2:11" x14ac:dyDescent="0.25">
      <c r="B137" s="2">
        <v>44815</v>
      </c>
      <c r="C137" s="10"/>
      <c r="D137" s="4"/>
      <c r="E137" s="20"/>
      <c r="F137" s="9"/>
      <c r="G137" s="9"/>
      <c r="H137" s="56"/>
      <c r="I137" s="6"/>
      <c r="J137" s="6"/>
      <c r="K137" s="51"/>
    </row>
    <row r="138" spans="2:11" x14ac:dyDescent="0.25">
      <c r="B138" s="2">
        <v>44816</v>
      </c>
      <c r="C138" s="10"/>
      <c r="D138" s="4"/>
      <c r="E138" s="20"/>
      <c r="F138" s="9"/>
      <c r="G138" s="9"/>
      <c r="H138" s="56"/>
      <c r="I138" s="6"/>
      <c r="J138" s="6"/>
      <c r="K138" s="51"/>
    </row>
    <row r="139" spans="2:11" x14ac:dyDescent="0.25">
      <c r="B139" s="2">
        <v>44817</v>
      </c>
      <c r="C139" s="10"/>
      <c r="D139" s="4"/>
      <c r="E139" s="20"/>
      <c r="F139" s="9"/>
      <c r="G139" s="9"/>
      <c r="H139" s="56"/>
      <c r="I139" s="6"/>
      <c r="J139" s="6"/>
      <c r="K139" s="51"/>
    </row>
    <row r="140" spans="2:11" x14ac:dyDescent="0.25">
      <c r="B140" s="2">
        <v>44818</v>
      </c>
      <c r="C140" s="10"/>
      <c r="D140" s="4"/>
      <c r="E140" s="20"/>
      <c r="F140" s="9"/>
      <c r="G140" s="9"/>
      <c r="H140" s="56"/>
      <c r="I140" s="6"/>
      <c r="J140" s="6"/>
      <c r="K140" s="51"/>
    </row>
    <row r="141" spans="2:11" x14ac:dyDescent="0.25">
      <c r="B141" s="2">
        <v>44819</v>
      </c>
      <c r="C141" s="10"/>
      <c r="D141" s="4"/>
      <c r="E141" s="20"/>
      <c r="F141" s="9"/>
      <c r="G141" s="9"/>
      <c r="H141" s="56"/>
      <c r="I141" s="6"/>
      <c r="J141" s="6"/>
      <c r="K141" s="51"/>
    </row>
    <row r="142" spans="2:11" x14ac:dyDescent="0.25">
      <c r="B142" s="2">
        <v>44820</v>
      </c>
      <c r="C142" s="10"/>
      <c r="D142" s="4"/>
      <c r="E142" s="20"/>
      <c r="F142" s="9"/>
      <c r="G142" s="9"/>
      <c r="H142" s="56"/>
      <c r="I142" s="6"/>
      <c r="J142" s="6"/>
      <c r="K142" s="51"/>
    </row>
    <row r="143" spans="2:11" x14ac:dyDescent="0.25">
      <c r="B143" s="2">
        <v>44821</v>
      </c>
      <c r="C143" s="10"/>
      <c r="D143" s="4"/>
      <c r="E143" s="20"/>
      <c r="F143" s="9"/>
      <c r="G143" s="9"/>
      <c r="H143" s="56"/>
      <c r="I143" s="6"/>
      <c r="J143" s="6"/>
      <c r="K143" s="51"/>
    </row>
    <row r="144" spans="2:11" x14ac:dyDescent="0.25">
      <c r="B144" s="2">
        <v>44822</v>
      </c>
      <c r="C144" s="10"/>
      <c r="D144" s="4"/>
      <c r="E144" s="20"/>
      <c r="F144" s="9"/>
      <c r="G144" s="9"/>
      <c r="H144" s="56"/>
      <c r="I144" s="6"/>
      <c r="J144" s="6"/>
      <c r="K144" s="51"/>
    </row>
    <row r="145" spans="2:11" x14ac:dyDescent="0.25">
      <c r="B145" s="2">
        <v>44823</v>
      </c>
      <c r="C145" s="10"/>
      <c r="D145" s="4"/>
      <c r="E145" s="20"/>
      <c r="F145" s="9"/>
      <c r="G145" s="9"/>
      <c r="H145" s="56"/>
      <c r="I145" s="6"/>
      <c r="J145" s="6"/>
      <c r="K145" s="51"/>
    </row>
    <row r="146" spans="2:11" x14ac:dyDescent="0.25">
      <c r="B146" s="2">
        <v>44824</v>
      </c>
      <c r="C146" s="10"/>
      <c r="D146" s="4"/>
      <c r="E146" s="20"/>
      <c r="F146" s="9"/>
      <c r="G146" s="9"/>
      <c r="H146" s="56"/>
      <c r="I146" s="6"/>
      <c r="J146" s="6"/>
      <c r="K146" s="51"/>
    </row>
    <row r="147" spans="2:11" x14ac:dyDescent="0.25">
      <c r="B147" s="2">
        <v>44825</v>
      </c>
      <c r="C147" s="10"/>
      <c r="D147" s="4"/>
      <c r="E147" s="20"/>
      <c r="F147" s="9"/>
      <c r="G147" s="9"/>
      <c r="H147" s="56"/>
      <c r="I147" s="6"/>
      <c r="J147" s="6"/>
      <c r="K147" s="51"/>
    </row>
    <row r="148" spans="2:11" x14ac:dyDescent="0.25">
      <c r="B148" s="2">
        <v>44826</v>
      </c>
      <c r="C148" s="10"/>
      <c r="D148" s="4"/>
      <c r="E148" s="20"/>
      <c r="F148" s="9"/>
      <c r="G148" s="9"/>
      <c r="H148" s="56"/>
      <c r="I148" s="6"/>
      <c r="J148" s="6"/>
      <c r="K148" s="51"/>
    </row>
    <row r="149" spans="2:11" x14ac:dyDescent="0.25">
      <c r="B149" s="2">
        <v>44827</v>
      </c>
      <c r="C149" s="10"/>
      <c r="D149" s="4"/>
      <c r="E149" s="20"/>
      <c r="F149" s="9"/>
      <c r="G149" s="9"/>
      <c r="H149" s="56"/>
      <c r="I149" s="6"/>
      <c r="J149" s="6"/>
      <c r="K149" s="51"/>
    </row>
    <row r="150" spans="2:11" x14ac:dyDescent="0.25">
      <c r="B150" s="2">
        <v>44828</v>
      </c>
      <c r="C150" s="10"/>
      <c r="D150" s="4"/>
      <c r="E150" s="20"/>
      <c r="F150" s="9"/>
      <c r="G150" s="9"/>
      <c r="H150" s="56"/>
      <c r="I150" s="6"/>
      <c r="J150" s="6"/>
      <c r="K150" s="51"/>
    </row>
    <row r="151" spans="2:11" x14ac:dyDescent="0.25">
      <c r="B151" s="2">
        <v>44829</v>
      </c>
      <c r="C151" s="10"/>
      <c r="D151" s="4"/>
      <c r="E151" s="20"/>
      <c r="F151" s="9"/>
      <c r="G151" s="9"/>
      <c r="H151" s="56"/>
      <c r="I151" s="6"/>
      <c r="J151" s="6"/>
      <c r="K151" s="51"/>
    </row>
    <row r="152" spans="2:11" x14ac:dyDescent="0.25">
      <c r="B152" s="2">
        <v>44830</v>
      </c>
      <c r="C152" s="10"/>
      <c r="D152" s="4"/>
      <c r="E152" s="20"/>
      <c r="F152" s="9"/>
      <c r="G152" s="9"/>
      <c r="H152" s="56"/>
      <c r="I152" s="6"/>
      <c r="J152" s="6"/>
      <c r="K152" s="51"/>
    </row>
    <row r="153" spans="2:11" x14ac:dyDescent="0.25">
      <c r="B153" s="2">
        <v>44831</v>
      </c>
      <c r="C153" s="10"/>
      <c r="D153" s="4"/>
      <c r="E153" s="20"/>
      <c r="F153" s="9"/>
      <c r="G153" s="9"/>
      <c r="H153" s="56"/>
      <c r="I153" s="6"/>
      <c r="J153" s="6"/>
      <c r="K153" s="51"/>
    </row>
    <row r="154" spans="2:11" x14ac:dyDescent="0.25">
      <c r="B154" s="2">
        <v>44832</v>
      </c>
      <c r="C154" s="10"/>
      <c r="D154" s="4"/>
      <c r="E154" s="20"/>
      <c r="F154" s="9"/>
      <c r="G154" s="9"/>
      <c r="H154" s="56"/>
      <c r="I154" s="6"/>
      <c r="J154" s="6"/>
      <c r="K154" s="51"/>
    </row>
    <row r="155" spans="2:11" x14ac:dyDescent="0.25">
      <c r="B155" s="2">
        <v>44833</v>
      </c>
      <c r="C155" s="10"/>
      <c r="D155" s="4"/>
      <c r="E155" s="20"/>
      <c r="F155" s="9"/>
      <c r="G155" s="9"/>
      <c r="H155" s="56"/>
      <c r="I155" s="6"/>
      <c r="J155" s="6"/>
      <c r="K155" s="51"/>
    </row>
    <row r="156" spans="2:11" x14ac:dyDescent="0.25">
      <c r="B156" s="2">
        <v>44834</v>
      </c>
      <c r="C156" s="10"/>
      <c r="D156" s="4"/>
      <c r="E156" s="20"/>
      <c r="F156" s="9"/>
      <c r="G156" s="9"/>
      <c r="H156" s="56"/>
      <c r="I156" s="57"/>
      <c r="J156" s="57"/>
      <c r="K156" s="58"/>
    </row>
    <row r="157" spans="2:11" x14ac:dyDescent="0.25">
      <c r="C157" s="7"/>
      <c r="D157" s="1"/>
      <c r="E157" s="17"/>
      <c r="F157" s="7"/>
      <c r="G157" s="7"/>
    </row>
    <row r="158" spans="2:11" x14ac:dyDescent="0.25">
      <c r="C158" s="61" t="s">
        <v>3</v>
      </c>
      <c r="D158" s="62" t="s">
        <v>20</v>
      </c>
      <c r="E158" s="63" t="s">
        <v>4</v>
      </c>
      <c r="F158" s="64" t="s">
        <v>5</v>
      </c>
      <c r="G158" s="64" t="s">
        <v>6</v>
      </c>
      <c r="H158" s="65" t="s">
        <v>7</v>
      </c>
      <c r="I158" s="66" t="s">
        <v>17</v>
      </c>
      <c r="J158" s="66" t="s">
        <v>22</v>
      </c>
      <c r="K158" s="59" t="s">
        <v>23</v>
      </c>
    </row>
    <row r="159" spans="2:11" x14ac:dyDescent="0.25">
      <c r="K159"/>
    </row>
    <row r="160" spans="2:11" x14ac:dyDescent="0.25">
      <c r="K160"/>
    </row>
    <row r="161" spans="11:11" x14ac:dyDescent="0.25">
      <c r="K161"/>
    </row>
    <row r="162" spans="11:11" x14ac:dyDescent="0.25">
      <c r="K162"/>
    </row>
    <row r="163" spans="11:11" x14ac:dyDescent="0.25">
      <c r="K163"/>
    </row>
    <row r="164" spans="11:11" x14ac:dyDescent="0.25">
      <c r="K164"/>
    </row>
    <row r="165" spans="11:11" x14ac:dyDescent="0.25">
      <c r="K165"/>
    </row>
    <row r="166" spans="11:11" x14ac:dyDescent="0.25">
      <c r="K166"/>
    </row>
    <row r="167" spans="11:11" x14ac:dyDescent="0.25">
      <c r="K167"/>
    </row>
    <row r="168" spans="11:11" x14ac:dyDescent="0.25">
      <c r="K168"/>
    </row>
    <row r="169" spans="11:11" x14ac:dyDescent="0.25">
      <c r="K169"/>
    </row>
    <row r="170" spans="11:11" x14ac:dyDescent="0.25">
      <c r="K170"/>
    </row>
    <row r="171" spans="11:11" x14ac:dyDescent="0.25">
      <c r="K171"/>
    </row>
    <row r="172" spans="11:11" x14ac:dyDescent="0.25">
      <c r="K172"/>
    </row>
    <row r="173" spans="11:11" x14ac:dyDescent="0.25">
      <c r="K173"/>
    </row>
    <row r="174" spans="11:11" x14ac:dyDescent="0.25">
      <c r="K174"/>
    </row>
    <row r="175" spans="11:11" x14ac:dyDescent="0.25">
      <c r="K175"/>
    </row>
    <row r="176" spans="11:11" x14ac:dyDescent="0.25">
      <c r="K176"/>
    </row>
    <row r="177" spans="11:11" x14ac:dyDescent="0.25">
      <c r="K177"/>
    </row>
    <row r="178" spans="11:11" x14ac:dyDescent="0.25">
      <c r="K178"/>
    </row>
    <row r="179" spans="11:11" x14ac:dyDescent="0.25">
      <c r="K179"/>
    </row>
    <row r="180" spans="11:11" x14ac:dyDescent="0.25">
      <c r="K180"/>
    </row>
    <row r="181" spans="11:11" x14ac:dyDescent="0.25">
      <c r="K181"/>
    </row>
    <row r="182" spans="11:11" x14ac:dyDescent="0.25">
      <c r="K182"/>
    </row>
    <row r="183" spans="11:11" x14ac:dyDescent="0.25">
      <c r="K183"/>
    </row>
    <row r="184" spans="11:11" x14ac:dyDescent="0.25">
      <c r="K184"/>
    </row>
    <row r="185" spans="11:11" x14ac:dyDescent="0.25">
      <c r="K185"/>
    </row>
    <row r="186" spans="11:11" x14ac:dyDescent="0.25">
      <c r="K186"/>
    </row>
    <row r="187" spans="11:11" x14ac:dyDescent="0.25">
      <c r="K187"/>
    </row>
    <row r="188" spans="11:11" x14ac:dyDescent="0.25">
      <c r="K188"/>
    </row>
    <row r="189" spans="11:11" x14ac:dyDescent="0.25">
      <c r="K189"/>
    </row>
    <row r="190" spans="11:11" x14ac:dyDescent="0.25">
      <c r="K190"/>
    </row>
    <row r="191" spans="11:11" x14ac:dyDescent="0.25">
      <c r="K191"/>
    </row>
    <row r="192" spans="11:11" x14ac:dyDescent="0.25">
      <c r="K192"/>
    </row>
    <row r="193" spans="11:11" x14ac:dyDescent="0.25">
      <c r="K193"/>
    </row>
    <row r="194" spans="11:11" x14ac:dyDescent="0.25">
      <c r="K194"/>
    </row>
    <row r="195" spans="11:11" x14ac:dyDescent="0.25">
      <c r="K195"/>
    </row>
    <row r="196" spans="11:11" x14ac:dyDescent="0.25">
      <c r="K196"/>
    </row>
    <row r="197" spans="11:11" x14ac:dyDescent="0.25">
      <c r="K197"/>
    </row>
    <row r="198" spans="11:11" x14ac:dyDescent="0.25">
      <c r="K198"/>
    </row>
    <row r="199" spans="11:11" x14ac:dyDescent="0.25">
      <c r="K199"/>
    </row>
    <row r="200" spans="11:11" x14ac:dyDescent="0.25">
      <c r="K200"/>
    </row>
    <row r="201" spans="11:11" x14ac:dyDescent="0.25">
      <c r="K201"/>
    </row>
    <row r="202" spans="11:11" x14ac:dyDescent="0.25">
      <c r="K202"/>
    </row>
    <row r="203" spans="11:11" x14ac:dyDescent="0.25">
      <c r="K203"/>
    </row>
    <row r="204" spans="11:11" x14ac:dyDescent="0.25">
      <c r="K204"/>
    </row>
    <row r="205" spans="11:11" x14ac:dyDescent="0.25">
      <c r="K205"/>
    </row>
    <row r="206" spans="11:11" x14ac:dyDescent="0.25">
      <c r="K206"/>
    </row>
    <row r="207" spans="11:11" x14ac:dyDescent="0.25">
      <c r="K207"/>
    </row>
    <row r="208" spans="11:11" x14ac:dyDescent="0.25">
      <c r="K208"/>
    </row>
    <row r="209" spans="11:11" x14ac:dyDescent="0.25">
      <c r="K209"/>
    </row>
    <row r="210" spans="11:11" x14ac:dyDescent="0.25">
      <c r="K210"/>
    </row>
    <row r="211" spans="11:11" x14ac:dyDescent="0.25">
      <c r="K211"/>
    </row>
    <row r="212" spans="11:11" x14ac:dyDescent="0.25">
      <c r="K212"/>
    </row>
    <row r="213" spans="11:11" x14ac:dyDescent="0.25">
      <c r="K213"/>
    </row>
    <row r="214" spans="11:11" x14ac:dyDescent="0.25">
      <c r="K214"/>
    </row>
    <row r="215" spans="11:11" x14ac:dyDescent="0.25">
      <c r="K215"/>
    </row>
    <row r="216" spans="11:11" x14ac:dyDescent="0.25">
      <c r="K216"/>
    </row>
    <row r="217" spans="11:11" x14ac:dyDescent="0.25">
      <c r="K217"/>
    </row>
    <row r="218" spans="11:11" x14ac:dyDescent="0.25">
      <c r="K218"/>
    </row>
    <row r="219" spans="11:11" x14ac:dyDescent="0.25">
      <c r="K219"/>
    </row>
    <row r="220" spans="11:11" x14ac:dyDescent="0.25">
      <c r="K220"/>
    </row>
    <row r="221" spans="11:11" x14ac:dyDescent="0.25">
      <c r="K221"/>
    </row>
    <row r="222" spans="11:11" x14ac:dyDescent="0.25">
      <c r="K222"/>
    </row>
    <row r="223" spans="11:11" x14ac:dyDescent="0.25">
      <c r="K223"/>
    </row>
    <row r="224" spans="11:11" x14ac:dyDescent="0.25">
      <c r="K224"/>
    </row>
    <row r="225" spans="11:11" x14ac:dyDescent="0.25">
      <c r="K225"/>
    </row>
    <row r="226" spans="11:11" x14ac:dyDescent="0.25">
      <c r="K226"/>
    </row>
    <row r="227" spans="11:11" x14ac:dyDescent="0.25">
      <c r="K227"/>
    </row>
    <row r="228" spans="11:11" x14ac:dyDescent="0.25">
      <c r="K228"/>
    </row>
    <row r="229" spans="11:11" x14ac:dyDescent="0.25">
      <c r="K229"/>
    </row>
    <row r="230" spans="11:11" x14ac:dyDescent="0.25">
      <c r="K230"/>
    </row>
    <row r="231" spans="11:11" x14ac:dyDescent="0.25">
      <c r="K231"/>
    </row>
    <row r="232" spans="11:11" x14ac:dyDescent="0.25">
      <c r="K232"/>
    </row>
    <row r="233" spans="11:11" x14ac:dyDescent="0.25">
      <c r="K233"/>
    </row>
    <row r="234" spans="11:11" x14ac:dyDescent="0.25">
      <c r="K234"/>
    </row>
    <row r="235" spans="11:11" x14ac:dyDescent="0.25">
      <c r="K235"/>
    </row>
    <row r="236" spans="11:11" x14ac:dyDescent="0.25">
      <c r="K236"/>
    </row>
    <row r="237" spans="11:11" x14ac:dyDescent="0.25">
      <c r="K237"/>
    </row>
    <row r="238" spans="11:11" x14ac:dyDescent="0.25">
      <c r="K238"/>
    </row>
    <row r="239" spans="11:11" x14ac:dyDescent="0.25">
      <c r="K239"/>
    </row>
    <row r="240" spans="11:11" x14ac:dyDescent="0.25">
      <c r="K240"/>
    </row>
    <row r="241" spans="11:11" x14ac:dyDescent="0.25">
      <c r="K241"/>
    </row>
    <row r="242" spans="11:11" x14ac:dyDescent="0.25">
      <c r="K242"/>
    </row>
    <row r="243" spans="11:11" x14ac:dyDescent="0.25">
      <c r="K243"/>
    </row>
    <row r="244" spans="11:11" x14ac:dyDescent="0.25">
      <c r="K244"/>
    </row>
    <row r="245" spans="11:11" x14ac:dyDescent="0.25">
      <c r="K245"/>
    </row>
    <row r="246" spans="11:11" x14ac:dyDescent="0.25">
      <c r="K246"/>
    </row>
    <row r="247" spans="11:11" x14ac:dyDescent="0.25">
      <c r="K247"/>
    </row>
    <row r="248" spans="11:11" x14ac:dyDescent="0.25">
      <c r="K248"/>
    </row>
    <row r="249" spans="11:11" x14ac:dyDescent="0.25">
      <c r="K249"/>
    </row>
    <row r="250" spans="11:11" x14ac:dyDescent="0.25">
      <c r="K250"/>
    </row>
    <row r="251" spans="11:11" x14ac:dyDescent="0.25">
      <c r="K251"/>
    </row>
    <row r="252" spans="11:11" x14ac:dyDescent="0.25">
      <c r="K252"/>
    </row>
    <row r="253" spans="11:11" x14ac:dyDescent="0.25">
      <c r="K253"/>
    </row>
    <row r="254" spans="11:11" x14ac:dyDescent="0.25">
      <c r="K254"/>
    </row>
    <row r="255" spans="11:11" x14ac:dyDescent="0.25">
      <c r="K255"/>
    </row>
    <row r="256" spans="11:11" x14ac:dyDescent="0.25">
      <c r="K256"/>
    </row>
    <row r="257" spans="11:11" x14ac:dyDescent="0.25">
      <c r="K257"/>
    </row>
    <row r="258" spans="11:11" x14ac:dyDescent="0.25">
      <c r="K258"/>
    </row>
    <row r="259" spans="11:11" x14ac:dyDescent="0.25">
      <c r="K259"/>
    </row>
  </sheetData>
  <mergeCells count="13">
    <mergeCell ref="M41:N45"/>
    <mergeCell ref="M46:N47"/>
    <mergeCell ref="M48:N51"/>
    <mergeCell ref="M2:O5"/>
    <mergeCell ref="M6:O7"/>
    <mergeCell ref="M8:O13"/>
    <mergeCell ref="M15:O18"/>
    <mergeCell ref="M19:O20"/>
    <mergeCell ref="M22:O25"/>
    <mergeCell ref="M26:O27"/>
    <mergeCell ref="M32:O35"/>
    <mergeCell ref="M36:O37"/>
    <mergeCell ref="M38:O39"/>
  </mergeCell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äivävaraus">
                <anchor moveWithCells="1" sizeWithCells="1">
                  <from>
                    <xdr:col>12</xdr:col>
                    <xdr:colOff>66675</xdr:colOff>
                    <xdr:row>7</xdr:row>
                    <xdr:rowOff>85725</xdr:rowOff>
                  </from>
                  <to>
                    <xdr:col>13</xdr:col>
                    <xdr:colOff>219075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Poisto">
                <anchor moveWithCells="1" sizeWithCells="1">
                  <from>
                    <xdr:col>13</xdr:col>
                    <xdr:colOff>285750</xdr:colOff>
                    <xdr:row>7</xdr:row>
                    <xdr:rowOff>85725</xdr:rowOff>
                  </from>
                  <to>
                    <xdr:col>14</xdr:col>
                    <xdr:colOff>561975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Viikkovaraus">
                <anchor moveWithCells="1" sizeWithCells="1">
                  <from>
                    <xdr:col>12</xdr:col>
                    <xdr:colOff>361950</xdr:colOff>
                    <xdr:row>10</xdr:row>
                    <xdr:rowOff>161925</xdr:rowOff>
                  </from>
                  <to>
                    <xdr:col>14</xdr:col>
                    <xdr:colOff>228600</xdr:colOff>
                    <xdr:row>12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Viikonloppuvaraus">
                <anchor moveWithCells="1" sizeWithCells="1">
                  <from>
                    <xdr:col>12</xdr:col>
                    <xdr:colOff>295275</xdr:colOff>
                    <xdr:row>9</xdr:row>
                    <xdr:rowOff>9525</xdr:rowOff>
                  </from>
                  <to>
                    <xdr:col>14</xdr:col>
                    <xdr:colOff>276225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Drop Down 5">
              <controlPr defaultSize="0" autoLine="0" autoPict="0">
                <anchor moveWithCells="1">
                  <from>
                    <xdr:col>12</xdr:col>
                    <xdr:colOff>733425</xdr:colOff>
                    <xdr:row>5</xdr:row>
                    <xdr:rowOff>76200</xdr:rowOff>
                  </from>
                  <to>
                    <xdr:col>13</xdr:col>
                    <xdr:colOff>571500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9" name="Drop Down 8">
              <controlPr defaultSize="0" autoLine="0" autoPict="0">
                <anchor moveWithCells="1">
                  <from>
                    <xdr:col>12</xdr:col>
                    <xdr:colOff>85725</xdr:colOff>
                    <xdr:row>16</xdr:row>
                    <xdr:rowOff>142875</xdr:rowOff>
                  </from>
                  <to>
                    <xdr:col>12</xdr:col>
                    <xdr:colOff>1038225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0" name="Drop Down 9">
              <controlPr defaultSize="0" autoLine="0" autoPict="0">
                <anchor moveWithCells="1">
                  <from>
                    <xdr:col>13</xdr:col>
                    <xdr:colOff>228600</xdr:colOff>
                    <xdr:row>16</xdr:row>
                    <xdr:rowOff>133350</xdr:rowOff>
                  </from>
                  <to>
                    <xdr:col>14</xdr:col>
                    <xdr:colOff>361950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1" name="Button 10">
              <controlPr defaultSize="0" print="0" autoFill="0" autoPict="0" macro="[0]!Customvaraus">
                <anchor moveWithCells="1" sizeWithCells="1">
                  <from>
                    <xdr:col>12</xdr:col>
                    <xdr:colOff>66675</xdr:colOff>
                    <xdr:row>18</xdr:row>
                    <xdr:rowOff>76200</xdr:rowOff>
                  </from>
                  <to>
                    <xdr:col>12</xdr:col>
                    <xdr:colOff>1333500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2" name="Button 11">
              <controlPr defaultSize="0" print="0" autoFill="0" autoPict="0" macro="[0]!custompoisto">
                <anchor moveWithCells="1" sizeWithCells="1">
                  <from>
                    <xdr:col>12</xdr:col>
                    <xdr:colOff>1371600</xdr:colOff>
                    <xdr:row>18</xdr:row>
                    <xdr:rowOff>66675</xdr:rowOff>
                  </from>
                  <to>
                    <xdr:col>14</xdr:col>
                    <xdr:colOff>552450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3" name="Drop Down 12">
              <controlPr defaultSize="0" autoLine="0" autoPict="0">
                <anchor moveWithCells="1">
                  <from>
                    <xdr:col>12</xdr:col>
                    <xdr:colOff>66675</xdr:colOff>
                    <xdr:row>25</xdr:row>
                    <xdr:rowOff>28575</xdr:rowOff>
                  </from>
                  <to>
                    <xdr:col>12</xdr:col>
                    <xdr:colOff>1419225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4" name="Scroll Bar 13">
              <controlPr defaultSize="0" autoPict="0">
                <anchor moveWithCells="1">
                  <from>
                    <xdr:col>12</xdr:col>
                    <xdr:colOff>19050</xdr:colOff>
                    <xdr:row>28</xdr:row>
                    <xdr:rowOff>0</xdr:rowOff>
                  </from>
                  <to>
                    <xdr:col>14</xdr:col>
                    <xdr:colOff>600075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5" name="Button 14">
              <controlPr defaultSize="0" print="0" autoFill="0" autoPict="0" macro="[0]!Kopiointi">
                <anchor moveWithCells="1" sizeWithCells="1">
                  <from>
                    <xdr:col>12</xdr:col>
                    <xdr:colOff>1457325</xdr:colOff>
                    <xdr:row>25</xdr:row>
                    <xdr:rowOff>47625</xdr:rowOff>
                  </from>
                  <to>
                    <xdr:col>14</xdr:col>
                    <xdr:colOff>561975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6" name="Drop Down 15">
              <controlPr defaultSize="0" autoLine="0" autoPict="0">
                <anchor moveWithCells="1">
                  <from>
                    <xdr:col>12</xdr:col>
                    <xdr:colOff>76200</xdr:colOff>
                    <xdr:row>35</xdr:row>
                    <xdr:rowOff>76200</xdr:rowOff>
                  </from>
                  <to>
                    <xdr:col>12</xdr:col>
                    <xdr:colOff>1276350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7" name="Drop Down 16">
              <controlPr defaultSize="0" autoLine="0" autoPict="0">
                <anchor moveWithCells="1">
                  <from>
                    <xdr:col>12</xdr:col>
                    <xdr:colOff>1362075</xdr:colOff>
                    <xdr:row>35</xdr:row>
                    <xdr:rowOff>76200</xdr:rowOff>
                  </from>
                  <to>
                    <xdr:col>14</xdr:col>
                    <xdr:colOff>381000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8" name="Button 17">
              <controlPr defaultSize="0" print="0" autoFill="0" autoPict="0" macro="[0]!Muokkaus">
                <anchor moveWithCells="1" sizeWithCells="1">
                  <from>
                    <xdr:col>12</xdr:col>
                    <xdr:colOff>847725</xdr:colOff>
                    <xdr:row>37</xdr:row>
                    <xdr:rowOff>47625</xdr:rowOff>
                  </from>
                  <to>
                    <xdr:col>13</xdr:col>
                    <xdr:colOff>304800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19" name="Drop Down 24">
              <controlPr defaultSize="0" autoLine="0" autoPict="0">
                <anchor moveWithCells="1">
                  <from>
                    <xdr:col>12</xdr:col>
                    <xdr:colOff>57150</xdr:colOff>
                    <xdr:row>45</xdr:row>
                    <xdr:rowOff>38100</xdr:rowOff>
                  </from>
                  <to>
                    <xdr:col>12</xdr:col>
                    <xdr:colOff>819150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20" name="Drop Down 25">
              <controlPr defaultSize="0" autoLine="0" autoPict="0">
                <anchor moveWithCells="1">
                  <from>
                    <xdr:col>13</xdr:col>
                    <xdr:colOff>47625</xdr:colOff>
                    <xdr:row>45</xdr:row>
                    <xdr:rowOff>47625</xdr:rowOff>
                  </from>
                  <to>
                    <xdr:col>13</xdr:col>
                    <xdr:colOff>742950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1" name="Button 26">
              <controlPr defaultSize="0" print="0" autoFill="0" autoPict="0" macro="[0]!Suodatus">
                <anchor moveWithCells="1" sizeWithCells="1">
                  <from>
                    <xdr:col>12</xdr:col>
                    <xdr:colOff>1276350</xdr:colOff>
                    <xdr:row>47</xdr:row>
                    <xdr:rowOff>57150</xdr:rowOff>
                  </from>
                  <to>
                    <xdr:col>13</xdr:col>
                    <xdr:colOff>752475</xdr:colOff>
                    <xdr:row>48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22" name="Option Button 27">
              <controlPr defaultSize="0" autoFill="0" autoLine="0" autoPict="0">
                <anchor moveWithCells="1">
                  <from>
                    <xdr:col>12</xdr:col>
                    <xdr:colOff>123825</xdr:colOff>
                    <xdr:row>46</xdr:row>
                    <xdr:rowOff>152400</xdr:rowOff>
                  </from>
                  <to>
                    <xdr:col>12</xdr:col>
                    <xdr:colOff>1457325</xdr:colOff>
                    <xdr:row>48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23" name="Option Button 28">
              <controlPr defaultSize="0" autoFill="0" autoLine="0" autoPict="0">
                <anchor moveWithCells="1">
                  <from>
                    <xdr:col>12</xdr:col>
                    <xdr:colOff>123825</xdr:colOff>
                    <xdr:row>48</xdr:row>
                    <xdr:rowOff>47625</xdr:rowOff>
                  </from>
                  <to>
                    <xdr:col>12</xdr:col>
                    <xdr:colOff>1133475</xdr:colOff>
                    <xdr:row>49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24" name="Option Button 29">
              <controlPr defaultSize="0" autoFill="0" autoLine="0" autoPict="0">
                <anchor moveWithCells="1">
                  <from>
                    <xdr:col>12</xdr:col>
                    <xdr:colOff>123825</xdr:colOff>
                    <xdr:row>49</xdr:row>
                    <xdr:rowOff>66675</xdr:rowOff>
                  </from>
                  <to>
                    <xdr:col>12</xdr:col>
                    <xdr:colOff>1238250</xdr:colOff>
                    <xdr:row>50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25" name="Button 30">
              <controlPr defaultSize="0" print="0" autoFill="0" autoPict="0" macro="[0]!Suodatuspoisto">
                <anchor moveWithCells="1" sizeWithCells="1">
                  <from>
                    <xdr:col>12</xdr:col>
                    <xdr:colOff>1276350</xdr:colOff>
                    <xdr:row>49</xdr:row>
                    <xdr:rowOff>19050</xdr:rowOff>
                  </from>
                  <to>
                    <xdr:col>13</xdr:col>
                    <xdr:colOff>752475</xdr:colOff>
                    <xdr:row>50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2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03C75-E5AB-4A1D-8DD5-73CA43FB4E8C}">
  <sheetPr codeName="Sheet5"/>
  <dimension ref="B1:AE259"/>
  <sheetViews>
    <sheetView zoomScaleNormal="100" workbookViewId="0">
      <selection activeCell="I17" sqref="I17"/>
    </sheetView>
  </sheetViews>
  <sheetFormatPr defaultRowHeight="15" x14ac:dyDescent="0.25"/>
  <cols>
    <col min="2" max="2" width="13" customWidth="1"/>
    <col min="3" max="3" width="24.28515625" customWidth="1"/>
    <col min="4" max="4" width="8.140625" customWidth="1"/>
    <col min="5" max="5" width="35.85546875" customWidth="1"/>
    <col min="6" max="6" width="13.5703125" customWidth="1"/>
    <col min="7" max="7" width="17" customWidth="1"/>
    <col min="8" max="8" width="30.7109375" customWidth="1"/>
    <col min="9" max="9" width="32.140625" customWidth="1"/>
    <col min="10" max="10" width="10.7109375" customWidth="1"/>
    <col min="11" max="11" width="10.7109375" style="50" customWidth="1"/>
    <col min="12" max="12" width="5" customWidth="1"/>
    <col min="13" max="13" width="22.140625" customWidth="1"/>
    <col min="14" max="14" width="12.28515625" customWidth="1"/>
    <col min="15" max="16" width="9.140625" customWidth="1"/>
    <col min="17" max="17" width="23.42578125" bestFit="1" customWidth="1"/>
    <col min="18" max="18" width="12.28515625" bestFit="1" customWidth="1"/>
  </cols>
  <sheetData>
    <row r="1" spans="2:31" ht="26.25" x14ac:dyDescent="0.4">
      <c r="B1" s="12" t="s">
        <v>34</v>
      </c>
      <c r="D1" s="1"/>
      <c r="E1" s="17"/>
      <c r="F1" s="7"/>
      <c r="G1" s="7"/>
      <c r="M1" s="5"/>
      <c r="S1" s="3"/>
      <c r="V1" s="41">
        <v>10</v>
      </c>
      <c r="W1" s="42" t="s">
        <v>3</v>
      </c>
      <c r="X1" s="50">
        <v>40</v>
      </c>
    </row>
    <row r="2" spans="2:31" ht="15" customHeight="1" x14ac:dyDescent="0.25">
      <c r="D2" s="1"/>
      <c r="E2" s="17"/>
      <c r="F2" s="7"/>
      <c r="G2" s="7"/>
      <c r="M2" s="81" t="s">
        <v>0</v>
      </c>
      <c r="N2" s="82"/>
      <c r="O2" s="83"/>
      <c r="V2" s="43">
        <v>14</v>
      </c>
      <c r="W2" s="30" t="s">
        <v>19</v>
      </c>
      <c r="X2" s="50">
        <v>80</v>
      </c>
    </row>
    <row r="3" spans="2:31" x14ac:dyDescent="0.25">
      <c r="B3" s="13" t="s">
        <v>2</v>
      </c>
      <c r="C3" s="14" t="s">
        <v>3</v>
      </c>
      <c r="D3" s="48" t="s">
        <v>20</v>
      </c>
      <c r="E3" s="18" t="s">
        <v>4</v>
      </c>
      <c r="F3" s="15" t="s">
        <v>5</v>
      </c>
      <c r="G3" s="15" t="s">
        <v>6</v>
      </c>
      <c r="H3" s="16" t="s">
        <v>7</v>
      </c>
      <c r="I3" s="35" t="s">
        <v>17</v>
      </c>
      <c r="J3" s="40" t="s">
        <v>22</v>
      </c>
      <c r="K3" s="52" t="s">
        <v>23</v>
      </c>
      <c r="M3" s="84"/>
      <c r="N3" s="85"/>
      <c r="O3" s="86"/>
      <c r="V3" s="43">
        <v>17</v>
      </c>
      <c r="W3" s="44" t="s">
        <v>18</v>
      </c>
      <c r="X3" s="50">
        <v>120</v>
      </c>
    </row>
    <row r="4" spans="2:31" x14ac:dyDescent="0.25">
      <c r="B4" s="2">
        <v>44682</v>
      </c>
      <c r="C4" s="8"/>
      <c r="D4" s="21"/>
      <c r="E4" s="19"/>
      <c r="F4" s="8"/>
      <c r="G4" s="8"/>
      <c r="H4" s="33"/>
      <c r="I4" s="6"/>
      <c r="J4" s="6"/>
      <c r="K4" s="51"/>
      <c r="M4" s="84"/>
      <c r="N4" s="85"/>
      <c r="O4" s="86"/>
      <c r="V4" s="43">
        <v>41</v>
      </c>
      <c r="W4" s="44" t="s">
        <v>5</v>
      </c>
      <c r="X4" s="50">
        <v>180</v>
      </c>
    </row>
    <row r="5" spans="2:31" x14ac:dyDescent="0.25">
      <c r="B5" s="2">
        <v>44683</v>
      </c>
      <c r="C5" s="8"/>
      <c r="D5" s="21"/>
      <c r="E5" s="19"/>
      <c r="F5" s="8"/>
      <c r="G5" s="8"/>
      <c r="H5" s="34"/>
      <c r="I5" s="6"/>
      <c r="J5" s="6"/>
      <c r="K5" s="51"/>
      <c r="M5" s="87"/>
      <c r="N5" s="88"/>
      <c r="O5" s="89"/>
      <c r="V5" s="43">
        <v>70</v>
      </c>
      <c r="W5" s="44" t="s">
        <v>6</v>
      </c>
      <c r="X5" s="50">
        <v>220</v>
      </c>
    </row>
    <row r="6" spans="2:31" ht="15.75" thickBot="1" x14ac:dyDescent="0.3">
      <c r="B6" s="2">
        <v>44684</v>
      </c>
      <c r="C6" s="8"/>
      <c r="D6" s="21"/>
      <c r="E6" s="19"/>
      <c r="F6" s="8"/>
      <c r="G6" s="8"/>
      <c r="H6" s="34"/>
      <c r="I6" s="6"/>
      <c r="J6" s="6"/>
      <c r="K6" s="51"/>
      <c r="M6" s="75"/>
      <c r="N6" s="90"/>
      <c r="O6" s="76"/>
      <c r="V6" s="45">
        <v>9</v>
      </c>
      <c r="W6" s="44" t="s">
        <v>7</v>
      </c>
      <c r="X6" s="50">
        <v>500</v>
      </c>
    </row>
    <row r="7" spans="2:31" ht="15.75" thickBot="1" x14ac:dyDescent="0.3">
      <c r="B7" s="2">
        <v>44685</v>
      </c>
      <c r="C7" s="112" t="s">
        <v>48</v>
      </c>
      <c r="D7" s="113">
        <v>1</v>
      </c>
      <c r="E7" s="114" t="s">
        <v>49</v>
      </c>
      <c r="F7" s="112" t="s">
        <v>9</v>
      </c>
      <c r="G7" s="112" t="s">
        <v>50</v>
      </c>
      <c r="H7" s="118" t="s">
        <v>51</v>
      </c>
      <c r="I7" s="116" t="s">
        <v>52</v>
      </c>
      <c r="J7" s="116" t="s">
        <v>44</v>
      </c>
      <c r="K7" s="117">
        <v>180</v>
      </c>
      <c r="M7" s="77"/>
      <c r="N7" s="92"/>
      <c r="O7" s="78"/>
      <c r="V7" s="47"/>
      <c r="W7" s="46" t="s">
        <v>17</v>
      </c>
      <c r="X7" s="50">
        <v>900</v>
      </c>
    </row>
    <row r="8" spans="2:31" x14ac:dyDescent="0.25">
      <c r="B8" s="2">
        <v>44686</v>
      </c>
      <c r="C8" s="112" t="s">
        <v>48</v>
      </c>
      <c r="D8" s="113">
        <v>1</v>
      </c>
      <c r="E8" s="114" t="s">
        <v>49</v>
      </c>
      <c r="F8" s="112" t="s">
        <v>9</v>
      </c>
      <c r="G8" s="112" t="s">
        <v>50</v>
      </c>
      <c r="H8" s="118" t="s">
        <v>51</v>
      </c>
      <c r="I8" s="116" t="s">
        <v>52</v>
      </c>
      <c r="J8" s="116" t="s">
        <v>44</v>
      </c>
      <c r="K8" s="117">
        <v>180</v>
      </c>
      <c r="M8" s="75"/>
      <c r="N8" s="90"/>
      <c r="O8" s="76"/>
      <c r="V8" t="s">
        <v>8</v>
      </c>
      <c r="W8" s="49" t="s">
        <v>30</v>
      </c>
      <c r="X8">
        <v>1</v>
      </c>
    </row>
    <row r="9" spans="2:31" x14ac:dyDescent="0.25">
      <c r="B9" s="2">
        <v>44687</v>
      </c>
      <c r="C9" s="112" t="s">
        <v>48</v>
      </c>
      <c r="D9" s="113">
        <v>1</v>
      </c>
      <c r="E9" s="114" t="s">
        <v>49</v>
      </c>
      <c r="F9" s="112" t="s">
        <v>9</v>
      </c>
      <c r="G9" s="112" t="s">
        <v>50</v>
      </c>
      <c r="H9" s="118" t="s">
        <v>51</v>
      </c>
      <c r="I9" s="116" t="s">
        <v>52</v>
      </c>
      <c r="J9" s="116" t="s">
        <v>44</v>
      </c>
      <c r="K9" s="117">
        <v>180</v>
      </c>
      <c r="M9" s="79"/>
      <c r="N9" s="91"/>
      <c r="O9" s="80"/>
      <c r="W9" s="49" t="s">
        <v>23</v>
      </c>
      <c r="X9">
        <v>5</v>
      </c>
    </row>
    <row r="10" spans="2:31" x14ac:dyDescent="0.25">
      <c r="B10" s="2">
        <v>44688</v>
      </c>
      <c r="C10" s="8"/>
      <c r="D10" s="21"/>
      <c r="E10" s="19"/>
      <c r="F10" s="8"/>
      <c r="G10" s="8"/>
      <c r="H10" s="34"/>
      <c r="I10" s="6"/>
      <c r="J10" s="6"/>
      <c r="K10" s="51"/>
      <c r="M10" s="79"/>
      <c r="N10" s="91"/>
      <c r="O10" s="80"/>
      <c r="X10">
        <v>1</v>
      </c>
    </row>
    <row r="11" spans="2:31" x14ac:dyDescent="0.25">
      <c r="B11" s="2">
        <v>44689</v>
      </c>
      <c r="C11" s="8"/>
      <c r="D11" s="21"/>
      <c r="E11" s="19"/>
      <c r="F11" s="8"/>
      <c r="G11" s="8"/>
      <c r="H11" s="34"/>
      <c r="I11" s="6"/>
      <c r="J11" s="6"/>
      <c r="K11" s="51"/>
      <c r="M11" s="79"/>
      <c r="N11" s="91"/>
      <c r="O11" s="80"/>
      <c r="V11" s="59" t="s">
        <v>23</v>
      </c>
      <c r="W11" s="59" t="s">
        <v>23</v>
      </c>
      <c r="Y11" s="60" t="s">
        <v>5</v>
      </c>
      <c r="Z11" s="59" t="s">
        <v>23</v>
      </c>
      <c r="AA11" s="59" t="s">
        <v>23</v>
      </c>
      <c r="AC11" s="60" t="s">
        <v>5</v>
      </c>
      <c r="AD11" s="59" t="s">
        <v>23</v>
      </c>
      <c r="AE11" s="59" t="s">
        <v>23</v>
      </c>
    </row>
    <row r="12" spans="2:31" x14ac:dyDescent="0.25">
      <c r="B12" s="2">
        <v>44690</v>
      </c>
      <c r="C12" s="8"/>
      <c r="D12" s="21"/>
      <c r="E12" s="19"/>
      <c r="F12" s="8"/>
      <c r="G12" s="8"/>
      <c r="H12" s="34"/>
      <c r="I12" s="6"/>
      <c r="J12" s="6"/>
      <c r="K12" s="51"/>
      <c r="M12" s="79"/>
      <c r="N12" s="91"/>
      <c r="O12" s="80"/>
      <c r="V12" t="str" cm="1">
        <f t="array" ref="V12">_xlfn.IFS(X8=1,"&gt;=40",X8=2,"&gt;=80",X8=3,"&gt;=120",X8=4,"&gt;=180",X8=5,"&gt;=220",X8=6,"&gt;=500",X8=7,"&gt;=900")</f>
        <v>&gt;=40</v>
      </c>
      <c r="W12" t="str" cm="1">
        <f t="array" ref="W12">_xlfn.IFS(X9=1,"&lt;=40",X9=2,"&lt;=80",X9=3,"&lt;=120",X9=4,"&lt;=180",X9=5,"&lt;=220",X9=6,"&lt;=500",X9=7,"&lt;=900")</f>
        <v>&lt;=220</v>
      </c>
      <c r="Y12" t="s">
        <v>29</v>
      </c>
      <c r="Z12" t="str" cm="1">
        <f t="array" ref="Z12">_xlfn.IFS(X8=1,"&gt;=40",X8=2,"&gt;=80",X8=3,"&gt;=120",X8=4,"&gt;=180",X8=5,"&gt;=220",X8=6,"&gt;=500",X8=7,"&gt;=900")</f>
        <v>&gt;=40</v>
      </c>
      <c r="AA12" t="str" cm="1">
        <f t="array" ref="AA12">_xlfn.IFS(X9=1,"&lt;=40",X9=2,"&lt;=80",X9=3,"&lt;=120",X9=4,"&lt;=180",X9=5,"&lt;=220",X9=6,"&lt;=500",X9=7,"&lt;=900")</f>
        <v>&lt;=220</v>
      </c>
      <c r="AC12" t="s">
        <v>9</v>
      </c>
      <c r="AD12" t="str" cm="1">
        <f t="array" ref="AD12">_xlfn.IFS(X8=1,"&gt;=40",X8=2,"&gt;=80",X8=3,"&gt;=120",X8=4,"&gt;=180",X8=5,"&gt;=220",X8=6,"&gt;=500",X8=7,"&gt;=900")</f>
        <v>&gt;=40</v>
      </c>
      <c r="AE12" t="str" cm="1">
        <f t="array" ref="AE12">_xlfn.IFS(X9=1,"&lt;=40",X9=2,"&lt;=80",X9=3,"&lt;=120",X9=4,"&lt;=180",X9=5,"&lt;=220",X9=6,"&lt;=500",X9=7,"&lt;=900")</f>
        <v>&lt;=220</v>
      </c>
    </row>
    <row r="13" spans="2:31" x14ac:dyDescent="0.25">
      <c r="B13" s="2">
        <v>44691</v>
      </c>
      <c r="C13" s="112" t="s">
        <v>53</v>
      </c>
      <c r="D13" s="113">
        <v>1</v>
      </c>
      <c r="E13" s="114" t="s">
        <v>53</v>
      </c>
      <c r="F13" s="112" t="s">
        <v>29</v>
      </c>
      <c r="G13" s="112" t="s">
        <v>53</v>
      </c>
      <c r="H13" s="118" t="s">
        <v>53</v>
      </c>
      <c r="I13" s="116" t="s">
        <v>53</v>
      </c>
      <c r="J13" s="116" t="s">
        <v>53</v>
      </c>
      <c r="K13" s="117">
        <v>40</v>
      </c>
      <c r="M13" s="77"/>
      <c r="N13" s="92"/>
      <c r="O13" s="78"/>
    </row>
    <row r="14" spans="2:31" x14ac:dyDescent="0.25">
      <c r="B14" s="2">
        <v>44692</v>
      </c>
      <c r="C14" s="8"/>
      <c r="D14" s="21"/>
      <c r="E14" s="19"/>
      <c r="F14" s="8"/>
      <c r="G14" s="8"/>
      <c r="H14" s="34"/>
      <c r="I14" s="6"/>
      <c r="J14" s="6"/>
      <c r="K14" s="51"/>
    </row>
    <row r="15" spans="2:31" ht="15" customHeight="1" x14ac:dyDescent="0.25">
      <c r="B15" s="2">
        <v>44693</v>
      </c>
      <c r="C15" s="8"/>
      <c r="D15" s="21"/>
      <c r="E15" s="19"/>
      <c r="F15" s="8"/>
      <c r="G15" s="8"/>
      <c r="H15" s="34"/>
      <c r="I15" s="6"/>
      <c r="J15" s="6"/>
      <c r="K15" s="51"/>
      <c r="M15" s="93" t="s">
        <v>10</v>
      </c>
      <c r="N15" s="94"/>
      <c r="O15" s="95"/>
    </row>
    <row r="16" spans="2:31" ht="15" customHeight="1" x14ac:dyDescent="0.25">
      <c r="B16" s="2">
        <v>44694</v>
      </c>
      <c r="C16" s="8"/>
      <c r="D16" s="21"/>
      <c r="E16" s="19"/>
      <c r="F16" s="8"/>
      <c r="G16" s="8"/>
      <c r="H16" s="34"/>
      <c r="I16" s="6"/>
      <c r="J16" s="6"/>
      <c r="K16" s="51"/>
      <c r="M16" s="96"/>
      <c r="N16" s="97"/>
      <c r="O16" s="98"/>
    </row>
    <row r="17" spans="2:15" ht="15" customHeight="1" x14ac:dyDescent="0.25">
      <c r="B17" s="2">
        <v>44695</v>
      </c>
      <c r="C17" s="10"/>
      <c r="D17" s="4"/>
      <c r="E17" s="20"/>
      <c r="F17" s="9"/>
      <c r="G17" s="9"/>
      <c r="H17" s="11"/>
      <c r="I17" s="6"/>
      <c r="J17" s="6"/>
      <c r="K17" s="51"/>
      <c r="M17" s="96"/>
      <c r="N17" s="97"/>
      <c r="O17" s="98"/>
    </row>
    <row r="18" spans="2:15" ht="15" customHeight="1" x14ac:dyDescent="0.25">
      <c r="B18" s="2">
        <v>44696</v>
      </c>
      <c r="C18" s="10"/>
      <c r="D18" s="4"/>
      <c r="E18" s="20"/>
      <c r="F18" s="9"/>
      <c r="G18" s="9"/>
      <c r="H18" s="11"/>
      <c r="I18" s="6"/>
      <c r="J18" s="6"/>
      <c r="K18" s="51"/>
      <c r="M18" s="99"/>
      <c r="N18" s="100"/>
      <c r="O18" s="101"/>
    </row>
    <row r="19" spans="2:15" x14ac:dyDescent="0.25">
      <c r="B19" s="2">
        <v>44697</v>
      </c>
      <c r="C19" s="10"/>
      <c r="D19" s="4"/>
      <c r="E19" s="20"/>
      <c r="F19" s="9"/>
      <c r="G19" s="9"/>
      <c r="H19" s="11"/>
      <c r="I19" s="6"/>
      <c r="J19" s="6"/>
      <c r="K19" s="51"/>
      <c r="M19" s="75"/>
      <c r="N19" s="90"/>
      <c r="O19" s="76"/>
    </row>
    <row r="20" spans="2:15" x14ac:dyDescent="0.25">
      <c r="B20" s="2">
        <v>44698</v>
      </c>
      <c r="C20" s="119" t="s">
        <v>62</v>
      </c>
      <c r="D20" s="120">
        <v>1</v>
      </c>
      <c r="E20" s="121" t="s">
        <v>41</v>
      </c>
      <c r="F20" s="122" t="s">
        <v>9</v>
      </c>
      <c r="G20" s="122" t="s">
        <v>63</v>
      </c>
      <c r="H20" s="123">
        <v>0</v>
      </c>
      <c r="I20" s="116" t="s">
        <v>53</v>
      </c>
      <c r="J20" s="116" t="s">
        <v>53</v>
      </c>
      <c r="K20" s="117">
        <v>10</v>
      </c>
      <c r="M20" s="77"/>
      <c r="N20" s="92"/>
      <c r="O20" s="78"/>
    </row>
    <row r="21" spans="2:15" x14ac:dyDescent="0.25">
      <c r="B21" s="2">
        <v>44699</v>
      </c>
      <c r="C21" s="119" t="s">
        <v>62</v>
      </c>
      <c r="D21" s="120">
        <v>1</v>
      </c>
      <c r="E21" s="121" t="s">
        <v>41</v>
      </c>
      <c r="F21" s="122" t="s">
        <v>9</v>
      </c>
      <c r="G21" s="122" t="s">
        <v>63</v>
      </c>
      <c r="H21" s="123">
        <v>0</v>
      </c>
      <c r="I21" s="116" t="s">
        <v>53</v>
      </c>
      <c r="J21" s="116" t="s">
        <v>53</v>
      </c>
      <c r="K21" s="117">
        <v>10</v>
      </c>
    </row>
    <row r="22" spans="2:15" ht="15" customHeight="1" x14ac:dyDescent="0.25">
      <c r="B22" s="2">
        <v>44700</v>
      </c>
      <c r="C22" s="119" t="s">
        <v>62</v>
      </c>
      <c r="D22" s="120">
        <v>1</v>
      </c>
      <c r="E22" s="121" t="s">
        <v>41</v>
      </c>
      <c r="F22" s="122" t="s">
        <v>9</v>
      </c>
      <c r="G22" s="122" t="s">
        <v>63</v>
      </c>
      <c r="H22" s="123">
        <v>0</v>
      </c>
      <c r="I22" s="116" t="s">
        <v>53</v>
      </c>
      <c r="J22" s="116" t="s">
        <v>53</v>
      </c>
      <c r="K22" s="117">
        <v>10</v>
      </c>
      <c r="M22" s="102" t="s">
        <v>1</v>
      </c>
      <c r="N22" s="103"/>
      <c r="O22" s="104"/>
    </row>
    <row r="23" spans="2:15" x14ac:dyDescent="0.25">
      <c r="B23" s="2">
        <v>44701</v>
      </c>
      <c r="C23" s="119" t="s">
        <v>62</v>
      </c>
      <c r="D23" s="120">
        <v>1</v>
      </c>
      <c r="E23" s="121" t="s">
        <v>41</v>
      </c>
      <c r="F23" s="122" t="s">
        <v>9</v>
      </c>
      <c r="G23" s="122" t="s">
        <v>63</v>
      </c>
      <c r="H23" s="123">
        <v>0</v>
      </c>
      <c r="I23" s="116" t="s">
        <v>53</v>
      </c>
      <c r="J23" s="116" t="s">
        <v>53</v>
      </c>
      <c r="K23" s="117">
        <v>10</v>
      </c>
      <c r="M23" s="105"/>
      <c r="N23" s="106"/>
      <c r="O23" s="107"/>
    </row>
    <row r="24" spans="2:15" x14ac:dyDescent="0.25">
      <c r="B24" s="2">
        <v>44702</v>
      </c>
      <c r="C24" s="119" t="s">
        <v>62</v>
      </c>
      <c r="D24" s="120">
        <v>1</v>
      </c>
      <c r="E24" s="121" t="s">
        <v>41</v>
      </c>
      <c r="F24" s="122" t="s">
        <v>9</v>
      </c>
      <c r="G24" s="122" t="s">
        <v>63</v>
      </c>
      <c r="H24" s="123">
        <v>0</v>
      </c>
      <c r="I24" s="116" t="s">
        <v>53</v>
      </c>
      <c r="J24" s="116" t="s">
        <v>53</v>
      </c>
      <c r="K24" s="117">
        <v>10</v>
      </c>
      <c r="M24" s="105"/>
      <c r="N24" s="106"/>
      <c r="O24" s="107"/>
    </row>
    <row r="25" spans="2:15" x14ac:dyDescent="0.25">
      <c r="B25" s="2">
        <v>44703</v>
      </c>
      <c r="C25" s="119" t="s">
        <v>62</v>
      </c>
      <c r="D25" s="120">
        <v>1</v>
      </c>
      <c r="E25" s="121" t="s">
        <v>41</v>
      </c>
      <c r="F25" s="122" t="s">
        <v>9</v>
      </c>
      <c r="G25" s="122" t="s">
        <v>63</v>
      </c>
      <c r="H25" s="123">
        <v>0</v>
      </c>
      <c r="I25" s="116" t="s">
        <v>53</v>
      </c>
      <c r="J25" s="116" t="s">
        <v>53</v>
      </c>
      <c r="K25" s="117">
        <v>10</v>
      </c>
      <c r="M25" s="108"/>
      <c r="N25" s="109"/>
      <c r="O25" s="110"/>
    </row>
    <row r="26" spans="2:15" x14ac:dyDescent="0.25">
      <c r="B26" s="2">
        <v>44704</v>
      </c>
      <c r="C26" s="119" t="s">
        <v>62</v>
      </c>
      <c r="D26" s="120">
        <v>1</v>
      </c>
      <c r="E26" s="121" t="s">
        <v>41</v>
      </c>
      <c r="F26" s="122" t="s">
        <v>9</v>
      </c>
      <c r="G26" s="122" t="s">
        <v>63</v>
      </c>
      <c r="H26" s="123">
        <v>0</v>
      </c>
      <c r="I26" s="116" t="s">
        <v>53</v>
      </c>
      <c r="J26" s="116" t="s">
        <v>53</v>
      </c>
      <c r="K26" s="117">
        <v>10</v>
      </c>
      <c r="M26" s="75"/>
      <c r="N26" s="90"/>
      <c r="O26" s="76"/>
    </row>
    <row r="27" spans="2:15" x14ac:dyDescent="0.25">
      <c r="B27" s="2">
        <v>44705</v>
      </c>
      <c r="C27" s="119" t="s">
        <v>62</v>
      </c>
      <c r="D27" s="120">
        <v>1</v>
      </c>
      <c r="E27" s="121" t="s">
        <v>41</v>
      </c>
      <c r="F27" s="122" t="s">
        <v>9</v>
      </c>
      <c r="G27" s="122" t="s">
        <v>63</v>
      </c>
      <c r="H27" s="123">
        <v>0</v>
      </c>
      <c r="I27" s="116" t="s">
        <v>53</v>
      </c>
      <c r="J27" s="116" t="s">
        <v>53</v>
      </c>
      <c r="K27" s="117">
        <v>10</v>
      </c>
      <c r="M27" s="77"/>
      <c r="N27" s="92"/>
      <c r="O27" s="78"/>
    </row>
    <row r="28" spans="2:15" x14ac:dyDescent="0.25">
      <c r="B28" s="2">
        <v>44706</v>
      </c>
      <c r="C28" s="119" t="s">
        <v>62</v>
      </c>
      <c r="D28" s="120">
        <v>1</v>
      </c>
      <c r="E28" s="121" t="s">
        <v>41</v>
      </c>
      <c r="F28" s="122" t="s">
        <v>9</v>
      </c>
      <c r="G28" s="122" t="s">
        <v>63</v>
      </c>
      <c r="H28" s="123">
        <v>0</v>
      </c>
      <c r="I28" s="116" t="s">
        <v>53</v>
      </c>
      <c r="J28" s="116" t="s">
        <v>53</v>
      </c>
      <c r="K28" s="117">
        <v>10</v>
      </c>
      <c r="M28" s="32" t="s">
        <v>21</v>
      </c>
      <c r="N28" s="38">
        <v>4</v>
      </c>
      <c r="O28" s="29"/>
    </row>
    <row r="29" spans="2:15" x14ac:dyDescent="0.25">
      <c r="B29" s="2">
        <v>44707</v>
      </c>
      <c r="C29" s="119" t="s">
        <v>62</v>
      </c>
      <c r="D29" s="120">
        <v>1</v>
      </c>
      <c r="E29" s="121" t="s">
        <v>41</v>
      </c>
      <c r="F29" s="122" t="s">
        <v>9</v>
      </c>
      <c r="G29" s="122" t="s">
        <v>63</v>
      </c>
      <c r="H29" s="123">
        <v>0</v>
      </c>
      <c r="I29" s="116" t="s">
        <v>53</v>
      </c>
      <c r="J29" s="116" t="s">
        <v>53</v>
      </c>
      <c r="K29" s="117">
        <v>10</v>
      </c>
      <c r="M29" s="26"/>
      <c r="N29" s="36"/>
      <c r="O29" s="30"/>
    </row>
    <row r="30" spans="2:15" x14ac:dyDescent="0.25">
      <c r="B30" s="2">
        <v>44708</v>
      </c>
      <c r="C30" s="119" t="s">
        <v>62</v>
      </c>
      <c r="D30" s="120">
        <v>1</v>
      </c>
      <c r="E30" s="121" t="s">
        <v>41</v>
      </c>
      <c r="F30" s="122" t="s">
        <v>9</v>
      </c>
      <c r="G30" s="122" t="s">
        <v>63</v>
      </c>
      <c r="H30" s="123">
        <v>0</v>
      </c>
      <c r="I30" s="116" t="s">
        <v>53</v>
      </c>
      <c r="J30" s="116" t="s">
        <v>53</v>
      </c>
      <c r="K30" s="117">
        <v>10</v>
      </c>
      <c r="M30" s="27"/>
      <c r="N30" s="39"/>
      <c r="O30" s="31"/>
    </row>
    <row r="31" spans="2:15" x14ac:dyDescent="0.25">
      <c r="B31" s="2">
        <v>44709</v>
      </c>
      <c r="C31" s="119" t="s">
        <v>62</v>
      </c>
      <c r="D31" s="120">
        <v>1</v>
      </c>
      <c r="E31" s="121" t="s">
        <v>41</v>
      </c>
      <c r="F31" s="122" t="s">
        <v>9</v>
      </c>
      <c r="G31" s="122" t="s">
        <v>63</v>
      </c>
      <c r="H31" s="123">
        <v>0</v>
      </c>
      <c r="I31" s="116" t="s">
        <v>53</v>
      </c>
      <c r="J31" s="116" t="s">
        <v>53</v>
      </c>
      <c r="K31" s="117">
        <v>10</v>
      </c>
    </row>
    <row r="32" spans="2:15" ht="15" customHeight="1" x14ac:dyDescent="0.25">
      <c r="B32" s="2">
        <v>44710</v>
      </c>
      <c r="C32" s="119" t="s">
        <v>62</v>
      </c>
      <c r="D32" s="120">
        <v>1</v>
      </c>
      <c r="E32" s="121" t="s">
        <v>41</v>
      </c>
      <c r="F32" s="122" t="s">
        <v>9</v>
      </c>
      <c r="G32" s="122" t="s">
        <v>63</v>
      </c>
      <c r="H32" s="123">
        <v>0</v>
      </c>
      <c r="I32" s="116" t="s">
        <v>53</v>
      </c>
      <c r="J32" s="116" t="s">
        <v>53</v>
      </c>
      <c r="K32" s="117">
        <v>10</v>
      </c>
      <c r="M32" s="102" t="s">
        <v>24</v>
      </c>
      <c r="N32" s="103"/>
      <c r="O32" s="104"/>
    </row>
    <row r="33" spans="2:15" x14ac:dyDescent="0.25">
      <c r="B33" s="2">
        <v>44711</v>
      </c>
      <c r="C33" s="119" t="s">
        <v>62</v>
      </c>
      <c r="D33" s="120">
        <v>1</v>
      </c>
      <c r="E33" s="121" t="s">
        <v>41</v>
      </c>
      <c r="F33" s="122" t="s">
        <v>9</v>
      </c>
      <c r="G33" s="122" t="s">
        <v>63</v>
      </c>
      <c r="H33" s="123">
        <v>0</v>
      </c>
      <c r="I33" s="116" t="s">
        <v>53</v>
      </c>
      <c r="J33" s="116" t="s">
        <v>53</v>
      </c>
      <c r="K33" s="117">
        <v>10</v>
      </c>
      <c r="M33" s="105"/>
      <c r="N33" s="106"/>
      <c r="O33" s="107"/>
    </row>
    <row r="34" spans="2:15" x14ac:dyDescent="0.25">
      <c r="B34" s="2">
        <v>44712</v>
      </c>
      <c r="C34" s="119" t="s">
        <v>62</v>
      </c>
      <c r="D34" s="120">
        <v>1</v>
      </c>
      <c r="E34" s="121" t="s">
        <v>41</v>
      </c>
      <c r="F34" s="122" t="s">
        <v>9</v>
      </c>
      <c r="G34" s="122" t="s">
        <v>63</v>
      </c>
      <c r="H34" s="123">
        <v>0</v>
      </c>
      <c r="I34" s="116" t="s">
        <v>53</v>
      </c>
      <c r="J34" s="116" t="s">
        <v>53</v>
      </c>
      <c r="K34" s="117">
        <v>10</v>
      </c>
      <c r="M34" s="105"/>
      <c r="N34" s="106"/>
      <c r="O34" s="107"/>
    </row>
    <row r="35" spans="2:15" x14ac:dyDescent="0.25">
      <c r="B35" s="2">
        <v>44713</v>
      </c>
      <c r="C35" s="119" t="s">
        <v>62</v>
      </c>
      <c r="D35" s="120">
        <v>1</v>
      </c>
      <c r="E35" s="121" t="s">
        <v>41</v>
      </c>
      <c r="F35" s="122" t="s">
        <v>9</v>
      </c>
      <c r="G35" s="122" t="s">
        <v>63</v>
      </c>
      <c r="H35" s="123">
        <v>0</v>
      </c>
      <c r="I35" s="116" t="s">
        <v>53</v>
      </c>
      <c r="J35" s="116" t="s">
        <v>53</v>
      </c>
      <c r="K35" s="117">
        <v>10</v>
      </c>
      <c r="M35" s="108"/>
      <c r="N35" s="109"/>
      <c r="O35" s="110"/>
    </row>
    <row r="36" spans="2:15" x14ac:dyDescent="0.25">
      <c r="B36" s="2">
        <v>44714</v>
      </c>
      <c r="C36" s="119" t="s">
        <v>62</v>
      </c>
      <c r="D36" s="120">
        <v>1</v>
      </c>
      <c r="E36" s="121" t="s">
        <v>41</v>
      </c>
      <c r="F36" s="122" t="s">
        <v>9</v>
      </c>
      <c r="G36" s="122" t="s">
        <v>63</v>
      </c>
      <c r="H36" s="123">
        <v>0</v>
      </c>
      <c r="I36" s="116" t="s">
        <v>53</v>
      </c>
      <c r="J36" s="116" t="s">
        <v>53</v>
      </c>
      <c r="K36" s="117">
        <v>10</v>
      </c>
      <c r="M36" s="75"/>
      <c r="N36" s="90"/>
      <c r="O36" s="76"/>
    </row>
    <row r="37" spans="2:15" x14ac:dyDescent="0.25">
      <c r="B37" s="2">
        <v>44715</v>
      </c>
      <c r="C37" s="119" t="s">
        <v>62</v>
      </c>
      <c r="D37" s="120">
        <v>1</v>
      </c>
      <c r="E37" s="121" t="s">
        <v>41</v>
      </c>
      <c r="F37" s="122" t="s">
        <v>9</v>
      </c>
      <c r="G37" s="122" t="s">
        <v>63</v>
      </c>
      <c r="H37" s="123">
        <v>0</v>
      </c>
      <c r="I37" s="116" t="s">
        <v>53</v>
      </c>
      <c r="J37" s="116" t="s">
        <v>53</v>
      </c>
      <c r="K37" s="117">
        <v>10</v>
      </c>
      <c r="M37" s="77"/>
      <c r="N37" s="92"/>
      <c r="O37" s="78"/>
    </row>
    <row r="38" spans="2:15" x14ac:dyDescent="0.25">
      <c r="B38" s="2">
        <v>44716</v>
      </c>
      <c r="C38" s="119" t="s">
        <v>62</v>
      </c>
      <c r="D38" s="120">
        <v>1</v>
      </c>
      <c r="E38" s="121" t="s">
        <v>41</v>
      </c>
      <c r="F38" s="122" t="s">
        <v>9</v>
      </c>
      <c r="G38" s="122" t="s">
        <v>63</v>
      </c>
      <c r="H38" s="123">
        <v>0</v>
      </c>
      <c r="I38" s="116" t="s">
        <v>53</v>
      </c>
      <c r="J38" s="116" t="s">
        <v>53</v>
      </c>
      <c r="K38" s="117">
        <v>10</v>
      </c>
      <c r="M38" s="75"/>
      <c r="N38" s="90"/>
      <c r="O38" s="76"/>
    </row>
    <row r="39" spans="2:15" x14ac:dyDescent="0.25">
      <c r="B39" s="2">
        <v>44717</v>
      </c>
      <c r="C39" s="119" t="s">
        <v>62</v>
      </c>
      <c r="D39" s="120">
        <v>1</v>
      </c>
      <c r="E39" s="121" t="s">
        <v>41</v>
      </c>
      <c r="F39" s="122" t="s">
        <v>9</v>
      </c>
      <c r="G39" s="122" t="s">
        <v>63</v>
      </c>
      <c r="H39" s="123">
        <v>0</v>
      </c>
      <c r="I39" s="116" t="s">
        <v>53</v>
      </c>
      <c r="J39" s="116" t="s">
        <v>53</v>
      </c>
      <c r="K39" s="117">
        <v>10</v>
      </c>
      <c r="M39" s="77"/>
      <c r="N39" s="92"/>
      <c r="O39" s="78"/>
    </row>
    <row r="40" spans="2:15" x14ac:dyDescent="0.25">
      <c r="B40" s="2">
        <v>44718</v>
      </c>
      <c r="C40" s="119" t="s">
        <v>62</v>
      </c>
      <c r="D40" s="120">
        <v>1</v>
      </c>
      <c r="E40" s="121" t="s">
        <v>41</v>
      </c>
      <c r="F40" s="122" t="s">
        <v>9</v>
      </c>
      <c r="G40" s="122" t="s">
        <v>63</v>
      </c>
      <c r="H40" s="123">
        <v>0</v>
      </c>
      <c r="I40" s="116" t="s">
        <v>53</v>
      </c>
      <c r="J40" s="116" t="s">
        <v>53</v>
      </c>
      <c r="K40" s="117">
        <v>10</v>
      </c>
    </row>
    <row r="41" spans="2:15" ht="15" customHeight="1" x14ac:dyDescent="0.25">
      <c r="B41" s="2">
        <v>44719</v>
      </c>
      <c r="C41" s="119" t="s">
        <v>62</v>
      </c>
      <c r="D41" s="120">
        <v>1</v>
      </c>
      <c r="E41" s="121" t="s">
        <v>41</v>
      </c>
      <c r="F41" s="122" t="s">
        <v>9</v>
      </c>
      <c r="G41" s="122" t="s">
        <v>63</v>
      </c>
      <c r="H41" s="123">
        <v>0</v>
      </c>
      <c r="I41" s="116" t="s">
        <v>53</v>
      </c>
      <c r="J41" s="116" t="s">
        <v>53</v>
      </c>
      <c r="K41" s="117">
        <v>10</v>
      </c>
      <c r="M41" s="69" t="s">
        <v>35</v>
      </c>
      <c r="N41" s="70"/>
    </row>
    <row r="42" spans="2:15" x14ac:dyDescent="0.25">
      <c r="B42" s="2">
        <v>44720</v>
      </c>
      <c r="C42" s="119" t="s">
        <v>62</v>
      </c>
      <c r="D42" s="120">
        <v>1</v>
      </c>
      <c r="E42" s="121" t="s">
        <v>41</v>
      </c>
      <c r="F42" s="122" t="s">
        <v>9</v>
      </c>
      <c r="G42" s="122" t="s">
        <v>63</v>
      </c>
      <c r="H42" s="123">
        <v>0</v>
      </c>
      <c r="I42" s="116" t="s">
        <v>53</v>
      </c>
      <c r="J42" s="116" t="s">
        <v>53</v>
      </c>
      <c r="K42" s="117">
        <v>10</v>
      </c>
      <c r="M42" s="71"/>
      <c r="N42" s="72"/>
    </row>
    <row r="43" spans="2:15" x14ac:dyDescent="0.25">
      <c r="B43" s="2">
        <v>44721</v>
      </c>
      <c r="C43" s="119" t="s">
        <v>62</v>
      </c>
      <c r="D43" s="120">
        <v>1</v>
      </c>
      <c r="E43" s="121" t="s">
        <v>41</v>
      </c>
      <c r="F43" s="122" t="s">
        <v>9</v>
      </c>
      <c r="G43" s="122" t="s">
        <v>63</v>
      </c>
      <c r="H43" s="123">
        <v>0</v>
      </c>
      <c r="I43" s="116" t="s">
        <v>53</v>
      </c>
      <c r="J43" s="116" t="s">
        <v>53</v>
      </c>
      <c r="K43" s="117">
        <v>10</v>
      </c>
      <c r="M43" s="71"/>
      <c r="N43" s="72"/>
    </row>
    <row r="44" spans="2:15" x14ac:dyDescent="0.25">
      <c r="B44" s="2">
        <v>44722</v>
      </c>
      <c r="C44" s="119" t="s">
        <v>62</v>
      </c>
      <c r="D44" s="120">
        <v>1</v>
      </c>
      <c r="E44" s="121" t="s">
        <v>41</v>
      </c>
      <c r="F44" s="122" t="s">
        <v>9</v>
      </c>
      <c r="G44" s="122" t="s">
        <v>63</v>
      </c>
      <c r="H44" s="123">
        <v>0</v>
      </c>
      <c r="I44" s="116" t="s">
        <v>53</v>
      </c>
      <c r="J44" s="116" t="s">
        <v>53</v>
      </c>
      <c r="K44" s="117">
        <v>10</v>
      </c>
      <c r="M44" s="71"/>
      <c r="N44" s="72"/>
    </row>
    <row r="45" spans="2:15" x14ac:dyDescent="0.25">
      <c r="B45" s="2">
        <v>44723</v>
      </c>
      <c r="C45" s="10"/>
      <c r="D45" s="4"/>
      <c r="E45" s="20"/>
      <c r="F45" s="9"/>
      <c r="G45" s="9"/>
      <c r="H45" s="56"/>
      <c r="I45" s="6"/>
      <c r="J45" s="6"/>
      <c r="K45" s="51"/>
      <c r="M45" s="73"/>
      <c r="N45" s="74"/>
    </row>
    <row r="46" spans="2:15" ht="15" customHeight="1" x14ac:dyDescent="0.25">
      <c r="B46" s="2">
        <v>44724</v>
      </c>
      <c r="C46" s="10"/>
      <c r="D46" s="4"/>
      <c r="E46" s="20"/>
      <c r="F46" s="9"/>
      <c r="G46" s="9"/>
      <c r="H46" s="56"/>
      <c r="I46" s="6"/>
      <c r="J46" s="6"/>
      <c r="K46" s="51"/>
      <c r="M46" s="75"/>
      <c r="N46" s="76"/>
    </row>
    <row r="47" spans="2:15" x14ac:dyDescent="0.25">
      <c r="B47" s="2">
        <v>44725</v>
      </c>
      <c r="C47" s="10"/>
      <c r="D47" s="4"/>
      <c r="E47" s="20"/>
      <c r="F47" s="9"/>
      <c r="G47" s="9"/>
      <c r="H47" s="56"/>
      <c r="I47" s="6"/>
      <c r="J47" s="6"/>
      <c r="K47" s="51"/>
      <c r="M47" s="77"/>
      <c r="N47" s="78"/>
    </row>
    <row r="48" spans="2:15" x14ac:dyDescent="0.25">
      <c r="B48" s="2">
        <v>44726</v>
      </c>
      <c r="C48" s="10"/>
      <c r="D48" s="4"/>
      <c r="E48" s="20"/>
      <c r="F48" s="9"/>
      <c r="G48" s="9"/>
      <c r="H48" s="56"/>
      <c r="I48" s="6"/>
      <c r="J48" s="6"/>
      <c r="K48" s="51"/>
      <c r="M48" s="75"/>
      <c r="N48" s="76"/>
    </row>
    <row r="49" spans="2:14" x14ac:dyDescent="0.25">
      <c r="B49" s="2">
        <v>44727</v>
      </c>
      <c r="C49" s="10"/>
      <c r="D49" s="4"/>
      <c r="E49" s="20"/>
      <c r="F49" s="9"/>
      <c r="G49" s="9"/>
      <c r="H49" s="56"/>
      <c r="I49" s="6"/>
      <c r="J49" s="6"/>
      <c r="K49" s="51"/>
      <c r="M49" s="79"/>
      <c r="N49" s="80"/>
    </row>
    <row r="50" spans="2:14" x14ac:dyDescent="0.25">
      <c r="B50" s="2">
        <v>44728</v>
      </c>
      <c r="C50" s="10"/>
      <c r="D50" s="4"/>
      <c r="E50" s="20"/>
      <c r="F50" s="9"/>
      <c r="G50" s="9"/>
      <c r="H50" s="56"/>
      <c r="I50" s="6"/>
      <c r="J50" s="6"/>
      <c r="K50" s="51"/>
      <c r="M50" s="79"/>
      <c r="N50" s="80"/>
    </row>
    <row r="51" spans="2:14" x14ac:dyDescent="0.25">
      <c r="B51" s="2">
        <v>44729</v>
      </c>
      <c r="C51" s="10"/>
      <c r="D51" s="4"/>
      <c r="E51" s="20"/>
      <c r="F51" s="9"/>
      <c r="G51" s="9"/>
      <c r="H51" s="56"/>
      <c r="I51" s="6"/>
      <c r="J51" s="6"/>
      <c r="K51" s="51"/>
      <c r="M51" s="77"/>
      <c r="N51" s="78"/>
    </row>
    <row r="52" spans="2:14" x14ac:dyDescent="0.25">
      <c r="B52" s="2">
        <v>44730</v>
      </c>
      <c r="C52" s="10"/>
      <c r="D52" s="4"/>
      <c r="E52" s="20"/>
      <c r="F52" s="9"/>
      <c r="G52" s="9"/>
      <c r="H52" s="56"/>
      <c r="I52" s="6"/>
      <c r="J52" s="6"/>
      <c r="K52" s="51"/>
    </row>
    <row r="53" spans="2:14" x14ac:dyDescent="0.25">
      <c r="B53" s="2">
        <v>44731</v>
      </c>
      <c r="C53" s="10"/>
      <c r="D53" s="4"/>
      <c r="E53" s="20"/>
      <c r="F53" s="9"/>
      <c r="G53" s="9"/>
      <c r="H53" s="56"/>
      <c r="I53" s="6"/>
      <c r="J53" s="6"/>
      <c r="K53" s="51"/>
      <c r="M53" s="54" t="s">
        <v>25</v>
      </c>
      <c r="N53" t="s">
        <v>28</v>
      </c>
    </row>
    <row r="54" spans="2:14" x14ac:dyDescent="0.25">
      <c r="B54" s="2">
        <v>44732</v>
      </c>
      <c r="C54" s="10"/>
      <c r="D54" s="4"/>
      <c r="E54" s="20"/>
      <c r="F54" s="9"/>
      <c r="G54" s="9"/>
      <c r="H54" s="56"/>
      <c r="I54" s="6"/>
      <c r="J54" s="6"/>
      <c r="K54" s="51"/>
      <c r="M54" s="55" t="s">
        <v>26</v>
      </c>
      <c r="N54" s="50"/>
    </row>
    <row r="55" spans="2:14" x14ac:dyDescent="0.25">
      <c r="B55" s="2">
        <v>44733</v>
      </c>
      <c r="C55" s="10"/>
      <c r="D55" s="4"/>
      <c r="E55" s="20"/>
      <c r="F55" s="9"/>
      <c r="G55" s="9"/>
      <c r="H55" s="56"/>
      <c r="I55" s="6"/>
      <c r="J55" s="6"/>
      <c r="K55" s="51"/>
      <c r="M55" s="55" t="s">
        <v>48</v>
      </c>
      <c r="N55" s="50">
        <v>540</v>
      </c>
    </row>
    <row r="56" spans="2:14" x14ac:dyDescent="0.25">
      <c r="B56" s="2">
        <v>44734</v>
      </c>
      <c r="C56" s="10"/>
      <c r="D56" s="4"/>
      <c r="E56" s="20"/>
      <c r="F56" s="9"/>
      <c r="G56" s="9"/>
      <c r="H56" s="56"/>
      <c r="I56" s="6"/>
      <c r="J56" s="6"/>
      <c r="K56" s="51"/>
      <c r="M56" s="55" t="s">
        <v>53</v>
      </c>
      <c r="N56" s="50">
        <v>40</v>
      </c>
    </row>
    <row r="57" spans="2:14" x14ac:dyDescent="0.25">
      <c r="B57" s="2">
        <v>44735</v>
      </c>
      <c r="C57" s="10"/>
      <c r="D57" s="4"/>
      <c r="E57" s="20"/>
      <c r="F57" s="9"/>
      <c r="G57" s="9"/>
      <c r="H57" s="56"/>
      <c r="I57" s="6"/>
      <c r="J57" s="6"/>
      <c r="K57" s="51"/>
      <c r="M57" s="55" t="s">
        <v>27</v>
      </c>
      <c r="N57" s="50">
        <v>580</v>
      </c>
    </row>
    <row r="58" spans="2:14" x14ac:dyDescent="0.25">
      <c r="B58" s="2">
        <v>44736</v>
      </c>
      <c r="C58" s="10"/>
      <c r="D58" s="4"/>
      <c r="E58" s="20"/>
      <c r="F58" s="9"/>
      <c r="G58" s="9"/>
      <c r="H58" s="56"/>
      <c r="I58" s="6"/>
      <c r="J58" s="6"/>
      <c r="K58" s="51"/>
    </row>
    <row r="59" spans="2:14" x14ac:dyDescent="0.25">
      <c r="B59" s="2">
        <v>44737</v>
      </c>
      <c r="C59" s="10"/>
      <c r="D59" s="4"/>
      <c r="E59" s="20"/>
      <c r="F59" s="9"/>
      <c r="G59" s="9"/>
      <c r="H59" s="56"/>
      <c r="I59" s="6"/>
      <c r="J59" s="6"/>
      <c r="K59" s="51"/>
    </row>
    <row r="60" spans="2:14" x14ac:dyDescent="0.25">
      <c r="B60" s="2">
        <v>44738</v>
      </c>
      <c r="C60" s="10"/>
      <c r="D60" s="4"/>
      <c r="E60" s="20"/>
      <c r="F60" s="9"/>
      <c r="G60" s="9"/>
      <c r="H60" s="56"/>
      <c r="I60" s="6"/>
      <c r="J60" s="6"/>
      <c r="K60" s="51"/>
    </row>
    <row r="61" spans="2:14" x14ac:dyDescent="0.25">
      <c r="B61" s="2">
        <v>44739</v>
      </c>
      <c r="C61" s="10"/>
      <c r="D61" s="4"/>
      <c r="E61" s="20"/>
      <c r="F61" s="9"/>
      <c r="G61" s="9"/>
      <c r="H61" s="56"/>
      <c r="I61" s="6"/>
      <c r="J61" s="6"/>
      <c r="K61" s="51"/>
    </row>
    <row r="62" spans="2:14" x14ac:dyDescent="0.25">
      <c r="B62" s="2">
        <v>44740</v>
      </c>
      <c r="C62" s="10"/>
      <c r="D62" s="4"/>
      <c r="E62" s="20"/>
      <c r="F62" s="9"/>
      <c r="G62" s="9"/>
      <c r="H62" s="56"/>
      <c r="I62" s="6"/>
      <c r="J62" s="6"/>
      <c r="K62" s="51"/>
    </row>
    <row r="63" spans="2:14" x14ac:dyDescent="0.25">
      <c r="B63" s="2">
        <v>44741</v>
      </c>
      <c r="C63" s="10"/>
      <c r="D63" s="4"/>
      <c r="E63" s="20"/>
      <c r="F63" s="9"/>
      <c r="G63" s="9"/>
      <c r="H63" s="56"/>
      <c r="I63" s="6"/>
      <c r="J63" s="6"/>
      <c r="K63" s="51"/>
    </row>
    <row r="64" spans="2:14" x14ac:dyDescent="0.25">
      <c r="B64" s="2">
        <v>44742</v>
      </c>
      <c r="C64" s="10"/>
      <c r="D64" s="4"/>
      <c r="E64" s="20"/>
      <c r="F64" s="9"/>
      <c r="G64" s="9"/>
      <c r="H64" s="56"/>
      <c r="I64" s="6"/>
      <c r="J64" s="6"/>
      <c r="K64" s="51"/>
    </row>
    <row r="65" spans="2:11" x14ac:dyDescent="0.25">
      <c r="B65" s="2">
        <v>44743</v>
      </c>
      <c r="C65" s="10"/>
      <c r="D65" s="4"/>
      <c r="E65" s="20"/>
      <c r="F65" s="9"/>
      <c r="G65" s="9"/>
      <c r="H65" s="56"/>
      <c r="I65" s="6"/>
      <c r="J65" s="6"/>
      <c r="K65" s="51"/>
    </row>
    <row r="66" spans="2:11" x14ac:dyDescent="0.25">
      <c r="B66" s="2">
        <v>44744</v>
      </c>
      <c r="C66" s="10"/>
      <c r="D66" s="4"/>
      <c r="E66" s="20"/>
      <c r="F66" s="9"/>
      <c r="G66" s="9"/>
      <c r="H66" s="56"/>
      <c r="I66" s="6"/>
      <c r="J66" s="6"/>
      <c r="K66" s="51"/>
    </row>
    <row r="67" spans="2:11" x14ac:dyDescent="0.25">
      <c r="B67" s="2">
        <v>44745</v>
      </c>
      <c r="C67" s="10"/>
      <c r="D67" s="4"/>
      <c r="E67" s="20"/>
      <c r="F67" s="9"/>
      <c r="G67" s="9"/>
      <c r="H67" s="56"/>
      <c r="I67" s="6"/>
      <c r="J67" s="6"/>
      <c r="K67" s="51"/>
    </row>
    <row r="68" spans="2:11" x14ac:dyDescent="0.25">
      <c r="B68" s="2">
        <v>44746</v>
      </c>
      <c r="C68" s="10"/>
      <c r="D68" s="4"/>
      <c r="E68" s="20"/>
      <c r="F68" s="9"/>
      <c r="G68" s="9"/>
      <c r="H68" s="56"/>
      <c r="I68" s="6"/>
      <c r="J68" s="6"/>
      <c r="K68" s="51"/>
    </row>
    <row r="69" spans="2:11" x14ac:dyDescent="0.25">
      <c r="B69" s="2">
        <v>44747</v>
      </c>
      <c r="C69" s="10"/>
      <c r="D69" s="4"/>
      <c r="E69" s="20"/>
      <c r="F69" s="9"/>
      <c r="G69" s="9"/>
      <c r="H69" s="56"/>
      <c r="I69" s="6"/>
      <c r="J69" s="6"/>
      <c r="K69" s="51"/>
    </row>
    <row r="70" spans="2:11" x14ac:dyDescent="0.25">
      <c r="B70" s="2">
        <v>44748</v>
      </c>
      <c r="C70" s="10"/>
      <c r="D70" s="4"/>
      <c r="E70" s="20"/>
      <c r="F70" s="9"/>
      <c r="G70" s="9"/>
      <c r="H70" s="56"/>
      <c r="I70" s="6"/>
      <c r="J70" s="6"/>
      <c r="K70" s="51"/>
    </row>
    <row r="71" spans="2:11" x14ac:dyDescent="0.25">
      <c r="B71" s="2">
        <v>44749</v>
      </c>
      <c r="C71" s="10"/>
      <c r="D71" s="4"/>
      <c r="E71" s="20"/>
      <c r="F71" s="9"/>
      <c r="G71" s="9"/>
      <c r="H71" s="56"/>
      <c r="I71" s="6"/>
      <c r="J71" s="6"/>
      <c r="K71" s="51"/>
    </row>
    <row r="72" spans="2:11" x14ac:dyDescent="0.25">
      <c r="B72" s="2">
        <v>44750</v>
      </c>
      <c r="C72" s="10"/>
      <c r="D72" s="4"/>
      <c r="E72" s="20"/>
      <c r="F72" s="9"/>
      <c r="G72" s="9"/>
      <c r="H72" s="56"/>
      <c r="I72" s="6"/>
      <c r="J72" s="6"/>
      <c r="K72" s="51"/>
    </row>
    <row r="73" spans="2:11" x14ac:dyDescent="0.25">
      <c r="B73" s="2">
        <v>44751</v>
      </c>
      <c r="C73" s="10"/>
      <c r="D73" s="4"/>
      <c r="E73" s="20"/>
      <c r="F73" s="9"/>
      <c r="G73" s="9"/>
      <c r="H73" s="56"/>
      <c r="I73" s="6"/>
      <c r="J73" s="6"/>
      <c r="K73" s="51"/>
    </row>
    <row r="74" spans="2:11" x14ac:dyDescent="0.25">
      <c r="B74" s="2">
        <v>44752</v>
      </c>
      <c r="C74" s="10"/>
      <c r="D74" s="4"/>
      <c r="E74" s="20"/>
      <c r="F74" s="9"/>
      <c r="G74" s="9"/>
      <c r="H74" s="56"/>
      <c r="I74" s="6"/>
      <c r="J74" s="6"/>
      <c r="K74" s="51"/>
    </row>
    <row r="75" spans="2:11" x14ac:dyDescent="0.25">
      <c r="B75" s="2">
        <v>44753</v>
      </c>
      <c r="C75" s="10"/>
      <c r="D75" s="4"/>
      <c r="E75" s="20"/>
      <c r="F75" s="9"/>
      <c r="G75" s="9"/>
      <c r="H75" s="56"/>
      <c r="I75" s="6"/>
      <c r="J75" s="6"/>
      <c r="K75" s="51"/>
    </row>
    <row r="76" spans="2:11" x14ac:dyDescent="0.25">
      <c r="B76" s="2">
        <v>44754</v>
      </c>
      <c r="C76" s="10"/>
      <c r="D76" s="4"/>
      <c r="E76" s="20"/>
      <c r="F76" s="9"/>
      <c r="G76" s="9"/>
      <c r="H76" s="56"/>
      <c r="I76" s="6"/>
      <c r="J76" s="6"/>
      <c r="K76" s="51"/>
    </row>
    <row r="77" spans="2:11" x14ac:dyDescent="0.25">
      <c r="B77" s="2">
        <v>44755</v>
      </c>
      <c r="C77" s="10"/>
      <c r="D77" s="4"/>
      <c r="E77" s="20"/>
      <c r="F77" s="9"/>
      <c r="G77" s="9"/>
      <c r="H77" s="56"/>
      <c r="I77" s="6"/>
      <c r="J77" s="6"/>
      <c r="K77" s="51"/>
    </row>
    <row r="78" spans="2:11" x14ac:dyDescent="0.25">
      <c r="B78" s="2">
        <v>44756</v>
      </c>
      <c r="C78" s="10"/>
      <c r="D78" s="4"/>
      <c r="E78" s="20"/>
      <c r="F78" s="9"/>
      <c r="G78" s="9"/>
      <c r="H78" s="56"/>
      <c r="I78" s="6"/>
      <c r="J78" s="6"/>
      <c r="K78" s="51"/>
    </row>
    <row r="79" spans="2:11" x14ac:dyDescent="0.25">
      <c r="B79" s="2">
        <v>44757</v>
      </c>
      <c r="C79" s="10"/>
      <c r="D79" s="4"/>
      <c r="E79" s="20"/>
      <c r="F79" s="9"/>
      <c r="G79" s="9"/>
      <c r="H79" s="56"/>
      <c r="I79" s="6"/>
      <c r="J79" s="6"/>
      <c r="K79" s="51"/>
    </row>
    <row r="80" spans="2:11" x14ac:dyDescent="0.25">
      <c r="B80" s="2">
        <v>44758</v>
      </c>
      <c r="C80" s="10"/>
      <c r="D80" s="4"/>
      <c r="E80" s="20"/>
      <c r="F80" s="9"/>
      <c r="G80" s="9"/>
      <c r="H80" s="56"/>
      <c r="I80" s="6"/>
      <c r="J80" s="6"/>
      <c r="K80" s="51"/>
    </row>
    <row r="81" spans="2:11" x14ac:dyDescent="0.25">
      <c r="B81" s="2">
        <v>44759</v>
      </c>
      <c r="C81" s="10"/>
      <c r="D81" s="4"/>
      <c r="E81" s="20"/>
      <c r="F81" s="9"/>
      <c r="G81" s="9"/>
      <c r="H81" s="56"/>
      <c r="I81" s="6"/>
      <c r="J81" s="6"/>
      <c r="K81" s="51"/>
    </row>
    <row r="82" spans="2:11" x14ac:dyDescent="0.25">
      <c r="B82" s="2">
        <v>44760</v>
      </c>
      <c r="C82" s="10"/>
      <c r="D82" s="4"/>
      <c r="E82" s="20"/>
      <c r="F82" s="9"/>
      <c r="G82" s="9"/>
      <c r="H82" s="56"/>
      <c r="I82" s="6"/>
      <c r="J82" s="6"/>
      <c r="K82" s="51"/>
    </row>
    <row r="83" spans="2:11" x14ac:dyDescent="0.25">
      <c r="B83" s="2">
        <v>44761</v>
      </c>
      <c r="C83" s="10"/>
      <c r="D83" s="4"/>
      <c r="E83" s="20"/>
      <c r="F83" s="9"/>
      <c r="G83" s="9"/>
      <c r="H83" s="56"/>
      <c r="I83" s="6"/>
      <c r="J83" s="6"/>
      <c r="K83" s="51"/>
    </row>
    <row r="84" spans="2:11" x14ac:dyDescent="0.25">
      <c r="B84" s="2">
        <v>44762</v>
      </c>
      <c r="C84" s="10"/>
      <c r="D84" s="4"/>
      <c r="E84" s="20"/>
      <c r="F84" s="9"/>
      <c r="G84" s="9"/>
      <c r="H84" s="56"/>
      <c r="I84" s="6"/>
      <c r="J84" s="6"/>
      <c r="K84" s="51"/>
    </row>
    <row r="85" spans="2:11" x14ac:dyDescent="0.25">
      <c r="B85" s="2">
        <v>44763</v>
      </c>
      <c r="C85" s="10"/>
      <c r="D85" s="4"/>
      <c r="E85" s="20"/>
      <c r="F85" s="9"/>
      <c r="G85" s="9"/>
      <c r="H85" s="56"/>
      <c r="I85" s="6"/>
      <c r="J85" s="6"/>
      <c r="K85" s="51"/>
    </row>
    <row r="86" spans="2:11" x14ac:dyDescent="0.25">
      <c r="B86" s="2">
        <v>44764</v>
      </c>
      <c r="C86" s="10"/>
      <c r="D86" s="4"/>
      <c r="E86" s="20"/>
      <c r="F86" s="9"/>
      <c r="G86" s="9"/>
      <c r="H86" s="56"/>
      <c r="I86" s="6"/>
      <c r="J86" s="6"/>
      <c r="K86" s="51"/>
    </row>
    <row r="87" spans="2:11" x14ac:dyDescent="0.25">
      <c r="B87" s="2">
        <v>44765</v>
      </c>
      <c r="C87" s="10"/>
      <c r="D87" s="4"/>
      <c r="E87" s="20"/>
      <c r="F87" s="9"/>
      <c r="G87" s="9"/>
      <c r="H87" s="56"/>
      <c r="I87" s="6"/>
      <c r="J87" s="6"/>
      <c r="K87" s="51"/>
    </row>
    <row r="88" spans="2:11" x14ac:dyDescent="0.25">
      <c r="B88" s="2">
        <v>44766</v>
      </c>
      <c r="C88" s="10"/>
      <c r="D88" s="4"/>
      <c r="E88" s="20"/>
      <c r="F88" s="9"/>
      <c r="G88" s="9"/>
      <c r="H88" s="56"/>
      <c r="I88" s="6"/>
      <c r="J88" s="6"/>
      <c r="K88" s="51"/>
    </row>
    <row r="89" spans="2:11" x14ac:dyDescent="0.25">
      <c r="B89" s="2">
        <v>44767</v>
      </c>
      <c r="C89" s="10"/>
      <c r="D89" s="4"/>
      <c r="E89" s="20"/>
      <c r="F89" s="9"/>
      <c r="G89" s="9"/>
      <c r="H89" s="56"/>
      <c r="I89" s="6"/>
      <c r="J89" s="6"/>
      <c r="K89" s="51"/>
    </row>
    <row r="90" spans="2:11" x14ac:dyDescent="0.25">
      <c r="B90" s="2">
        <v>44768</v>
      </c>
      <c r="C90" s="10"/>
      <c r="D90" s="4"/>
      <c r="E90" s="20"/>
      <c r="F90" s="9"/>
      <c r="G90" s="9"/>
      <c r="H90" s="56"/>
      <c r="I90" s="6"/>
      <c r="J90" s="6"/>
      <c r="K90" s="51"/>
    </row>
    <row r="91" spans="2:11" x14ac:dyDescent="0.25">
      <c r="B91" s="2">
        <v>44769</v>
      </c>
      <c r="C91" s="10"/>
      <c r="D91" s="4"/>
      <c r="E91" s="20"/>
      <c r="F91" s="9"/>
      <c r="G91" s="9"/>
      <c r="H91" s="56"/>
      <c r="I91" s="6"/>
      <c r="J91" s="6"/>
      <c r="K91" s="51"/>
    </row>
    <row r="92" spans="2:11" x14ac:dyDescent="0.25">
      <c r="B92" s="2">
        <v>44770</v>
      </c>
      <c r="C92" s="10"/>
      <c r="D92" s="4"/>
      <c r="E92" s="20"/>
      <c r="F92" s="9"/>
      <c r="G92" s="9"/>
      <c r="H92" s="56"/>
      <c r="I92" s="6"/>
      <c r="J92" s="6"/>
      <c r="K92" s="51"/>
    </row>
    <row r="93" spans="2:11" x14ac:dyDescent="0.25">
      <c r="B93" s="2">
        <v>44771</v>
      </c>
      <c r="C93" s="10"/>
      <c r="D93" s="4"/>
      <c r="E93" s="20"/>
      <c r="F93" s="9"/>
      <c r="G93" s="9"/>
      <c r="H93" s="56"/>
      <c r="I93" s="6"/>
      <c r="J93" s="6"/>
      <c r="K93" s="51"/>
    </row>
    <row r="94" spans="2:11" x14ac:dyDescent="0.25">
      <c r="B94" s="2">
        <v>44772</v>
      </c>
      <c r="C94" s="10"/>
      <c r="D94" s="4"/>
      <c r="E94" s="20"/>
      <c r="F94" s="9"/>
      <c r="G94" s="9"/>
      <c r="H94" s="56"/>
      <c r="I94" s="6"/>
      <c r="J94" s="6"/>
      <c r="K94" s="51"/>
    </row>
    <row r="95" spans="2:11" x14ac:dyDescent="0.25">
      <c r="B95" s="2">
        <v>44773</v>
      </c>
      <c r="C95" s="10"/>
      <c r="D95" s="4"/>
      <c r="E95" s="20"/>
      <c r="F95" s="9"/>
      <c r="G95" s="9"/>
      <c r="H95" s="56"/>
      <c r="I95" s="6"/>
      <c r="J95" s="6"/>
      <c r="K95" s="51"/>
    </row>
    <row r="96" spans="2:11" x14ac:dyDescent="0.25">
      <c r="B96" s="2">
        <v>44774</v>
      </c>
      <c r="C96" s="10"/>
      <c r="D96" s="4"/>
      <c r="E96" s="20"/>
      <c r="F96" s="9"/>
      <c r="G96" s="9"/>
      <c r="H96" s="56"/>
      <c r="I96" s="6"/>
      <c r="J96" s="6"/>
      <c r="K96" s="51"/>
    </row>
    <row r="97" spans="2:11" x14ac:dyDescent="0.25">
      <c r="B97" s="2">
        <v>44775</v>
      </c>
      <c r="C97" s="10"/>
      <c r="D97" s="4"/>
      <c r="E97" s="20"/>
      <c r="F97" s="9"/>
      <c r="G97" s="9"/>
      <c r="H97" s="56"/>
      <c r="I97" s="6"/>
      <c r="J97" s="6"/>
      <c r="K97" s="51"/>
    </row>
    <row r="98" spans="2:11" x14ac:dyDescent="0.25">
      <c r="B98" s="2">
        <v>44776</v>
      </c>
      <c r="C98" s="10"/>
      <c r="D98" s="4"/>
      <c r="E98" s="20"/>
      <c r="F98" s="9"/>
      <c r="G98" s="9"/>
      <c r="H98" s="56"/>
      <c r="I98" s="6"/>
      <c r="J98" s="6"/>
      <c r="K98" s="51"/>
    </row>
    <row r="99" spans="2:11" x14ac:dyDescent="0.25">
      <c r="B99" s="2">
        <v>44777</v>
      </c>
      <c r="C99" s="10"/>
      <c r="D99" s="4"/>
      <c r="E99" s="20"/>
      <c r="F99" s="9"/>
      <c r="G99" s="9"/>
      <c r="H99" s="56"/>
      <c r="I99" s="6"/>
      <c r="J99" s="6"/>
      <c r="K99" s="51"/>
    </row>
    <row r="100" spans="2:11" x14ac:dyDescent="0.25">
      <c r="B100" s="2">
        <v>44778</v>
      </c>
      <c r="C100" s="10"/>
      <c r="D100" s="4"/>
      <c r="E100" s="20"/>
      <c r="F100" s="9"/>
      <c r="G100" s="9"/>
      <c r="H100" s="56"/>
      <c r="I100" s="6"/>
      <c r="J100" s="6"/>
      <c r="K100" s="51"/>
    </row>
    <row r="101" spans="2:11" x14ac:dyDescent="0.25">
      <c r="B101" s="2">
        <v>44779</v>
      </c>
      <c r="C101" s="10"/>
      <c r="D101" s="4"/>
      <c r="E101" s="20"/>
      <c r="F101" s="9"/>
      <c r="G101" s="9"/>
      <c r="H101" s="56"/>
      <c r="I101" s="6"/>
      <c r="J101" s="6"/>
      <c r="K101" s="51"/>
    </row>
    <row r="102" spans="2:11" x14ac:dyDescent="0.25">
      <c r="B102" s="2">
        <v>44780</v>
      </c>
      <c r="C102" s="10"/>
      <c r="D102" s="4"/>
      <c r="E102" s="20"/>
      <c r="F102" s="9"/>
      <c r="G102" s="9"/>
      <c r="H102" s="56"/>
      <c r="I102" s="6"/>
      <c r="J102" s="6"/>
      <c r="K102" s="51"/>
    </row>
    <row r="103" spans="2:11" x14ac:dyDescent="0.25">
      <c r="B103" s="2">
        <v>44781</v>
      </c>
      <c r="C103" s="10"/>
      <c r="D103" s="4"/>
      <c r="E103" s="20"/>
      <c r="F103" s="9"/>
      <c r="G103" s="9"/>
      <c r="H103" s="56"/>
      <c r="I103" s="6"/>
      <c r="J103" s="6"/>
      <c r="K103" s="51"/>
    </row>
    <row r="104" spans="2:11" x14ac:dyDescent="0.25">
      <c r="B104" s="2">
        <v>44782</v>
      </c>
      <c r="C104" s="10"/>
      <c r="D104" s="4"/>
      <c r="E104" s="20"/>
      <c r="F104" s="9"/>
      <c r="G104" s="9"/>
      <c r="H104" s="56"/>
      <c r="I104" s="6"/>
      <c r="J104" s="6"/>
      <c r="K104" s="51"/>
    </row>
    <row r="105" spans="2:11" x14ac:dyDescent="0.25">
      <c r="B105" s="2">
        <v>44783</v>
      </c>
      <c r="C105" s="10"/>
      <c r="D105" s="4"/>
      <c r="E105" s="20"/>
      <c r="F105" s="9"/>
      <c r="G105" s="9"/>
      <c r="H105" s="56"/>
      <c r="I105" s="6"/>
      <c r="J105" s="6"/>
      <c r="K105" s="51"/>
    </row>
    <row r="106" spans="2:11" x14ac:dyDescent="0.25">
      <c r="B106" s="2">
        <v>44784</v>
      </c>
      <c r="C106" s="10"/>
      <c r="D106" s="4"/>
      <c r="E106" s="20"/>
      <c r="F106" s="9"/>
      <c r="G106" s="9"/>
      <c r="H106" s="56"/>
      <c r="I106" s="6"/>
      <c r="J106" s="6"/>
      <c r="K106" s="51"/>
    </row>
    <row r="107" spans="2:11" x14ac:dyDescent="0.25">
      <c r="B107" s="2">
        <v>44785</v>
      </c>
      <c r="C107" s="10"/>
      <c r="D107" s="4"/>
      <c r="E107" s="20"/>
      <c r="F107" s="9"/>
      <c r="G107" s="9"/>
      <c r="H107" s="56"/>
      <c r="I107" s="6"/>
      <c r="J107" s="6"/>
      <c r="K107" s="51"/>
    </row>
    <row r="108" spans="2:11" x14ac:dyDescent="0.25">
      <c r="B108" s="2">
        <v>44786</v>
      </c>
      <c r="C108" s="10"/>
      <c r="D108" s="4"/>
      <c r="E108" s="20"/>
      <c r="F108" s="9"/>
      <c r="G108" s="9"/>
      <c r="H108" s="56"/>
      <c r="I108" s="6"/>
      <c r="J108" s="6"/>
      <c r="K108" s="51"/>
    </row>
    <row r="109" spans="2:11" x14ac:dyDescent="0.25">
      <c r="B109" s="2">
        <v>44787</v>
      </c>
      <c r="C109" s="10"/>
      <c r="D109" s="4"/>
      <c r="E109" s="20"/>
      <c r="F109" s="9"/>
      <c r="G109" s="9"/>
      <c r="H109" s="56"/>
      <c r="I109" s="6"/>
      <c r="J109" s="6"/>
      <c r="K109" s="51"/>
    </row>
    <row r="110" spans="2:11" x14ac:dyDescent="0.25">
      <c r="B110" s="2">
        <v>44788</v>
      </c>
      <c r="C110" s="10"/>
      <c r="D110" s="4"/>
      <c r="E110" s="20"/>
      <c r="F110" s="9"/>
      <c r="G110" s="9"/>
      <c r="H110" s="56"/>
      <c r="I110" s="6"/>
      <c r="J110" s="6"/>
      <c r="K110" s="51"/>
    </row>
    <row r="111" spans="2:11" x14ac:dyDescent="0.25">
      <c r="B111" s="2">
        <v>44789</v>
      </c>
      <c r="C111" s="10"/>
      <c r="D111" s="4"/>
      <c r="E111" s="20"/>
      <c r="F111" s="9"/>
      <c r="G111" s="9"/>
      <c r="H111" s="56"/>
      <c r="I111" s="6"/>
      <c r="J111" s="6"/>
      <c r="K111" s="51"/>
    </row>
    <row r="112" spans="2:11" x14ac:dyDescent="0.25">
      <c r="B112" s="2">
        <v>44790</v>
      </c>
      <c r="C112" s="10"/>
      <c r="D112" s="4"/>
      <c r="E112" s="20"/>
      <c r="F112" s="9"/>
      <c r="G112" s="9"/>
      <c r="H112" s="56"/>
      <c r="I112" s="6"/>
      <c r="J112" s="6"/>
      <c r="K112" s="51"/>
    </row>
    <row r="113" spans="2:11" x14ac:dyDescent="0.25">
      <c r="B113" s="2">
        <v>44791</v>
      </c>
      <c r="C113" s="10"/>
      <c r="D113" s="4"/>
      <c r="E113" s="20"/>
      <c r="F113" s="9"/>
      <c r="G113" s="9"/>
      <c r="H113" s="56"/>
      <c r="I113" s="6"/>
      <c r="J113" s="6"/>
      <c r="K113" s="51"/>
    </row>
    <row r="114" spans="2:11" x14ac:dyDescent="0.25">
      <c r="B114" s="2">
        <v>44792</v>
      </c>
      <c r="C114" s="10"/>
      <c r="D114" s="4"/>
      <c r="E114" s="20"/>
      <c r="F114" s="9"/>
      <c r="G114" s="9"/>
      <c r="H114" s="56"/>
      <c r="I114" s="6"/>
      <c r="J114" s="6"/>
      <c r="K114" s="51"/>
    </row>
    <row r="115" spans="2:11" x14ac:dyDescent="0.25">
      <c r="B115" s="2">
        <v>44793</v>
      </c>
      <c r="C115" s="10"/>
      <c r="D115" s="4"/>
      <c r="E115" s="20"/>
      <c r="F115" s="9"/>
      <c r="G115" s="9"/>
      <c r="H115" s="56"/>
      <c r="I115" s="6"/>
      <c r="J115" s="6"/>
      <c r="K115" s="51"/>
    </row>
    <row r="116" spans="2:11" x14ac:dyDescent="0.25">
      <c r="B116" s="2">
        <v>44794</v>
      </c>
      <c r="C116" s="10"/>
      <c r="D116" s="4"/>
      <c r="E116" s="20"/>
      <c r="F116" s="9"/>
      <c r="G116" s="9"/>
      <c r="H116" s="56"/>
      <c r="I116" s="6"/>
      <c r="J116" s="6"/>
      <c r="K116" s="51"/>
    </row>
    <row r="117" spans="2:11" x14ac:dyDescent="0.25">
      <c r="B117" s="2">
        <v>44795</v>
      </c>
      <c r="C117" s="10"/>
      <c r="D117" s="4"/>
      <c r="E117" s="20"/>
      <c r="F117" s="9"/>
      <c r="G117" s="9"/>
      <c r="H117" s="56"/>
      <c r="I117" s="6"/>
      <c r="J117" s="6"/>
      <c r="K117" s="51"/>
    </row>
    <row r="118" spans="2:11" x14ac:dyDescent="0.25">
      <c r="B118" s="2">
        <v>44796</v>
      </c>
      <c r="C118" s="10"/>
      <c r="D118" s="4"/>
      <c r="E118" s="20"/>
      <c r="F118" s="9"/>
      <c r="G118" s="9"/>
      <c r="H118" s="56"/>
      <c r="I118" s="6"/>
      <c r="J118" s="6"/>
      <c r="K118" s="51"/>
    </row>
    <row r="119" spans="2:11" x14ac:dyDescent="0.25">
      <c r="B119" s="2">
        <v>44797</v>
      </c>
      <c r="C119" s="10"/>
      <c r="D119" s="4"/>
      <c r="E119" s="20"/>
      <c r="F119" s="9"/>
      <c r="G119" s="9"/>
      <c r="H119" s="56"/>
      <c r="I119" s="6"/>
      <c r="J119" s="6"/>
      <c r="K119" s="51"/>
    </row>
    <row r="120" spans="2:11" x14ac:dyDescent="0.25">
      <c r="B120" s="2">
        <v>44798</v>
      </c>
      <c r="C120" s="10"/>
      <c r="D120" s="4"/>
      <c r="E120" s="20"/>
      <c r="F120" s="9"/>
      <c r="G120" s="9"/>
      <c r="H120" s="56"/>
      <c r="I120" s="6"/>
      <c r="J120" s="6"/>
      <c r="K120" s="51"/>
    </row>
    <row r="121" spans="2:11" x14ac:dyDescent="0.25">
      <c r="B121" s="2">
        <v>44799</v>
      </c>
      <c r="C121" s="10"/>
      <c r="D121" s="4"/>
      <c r="E121" s="20"/>
      <c r="F121" s="9"/>
      <c r="G121" s="9"/>
      <c r="H121" s="56"/>
      <c r="I121" s="6"/>
      <c r="J121" s="6"/>
      <c r="K121" s="51"/>
    </row>
    <row r="122" spans="2:11" x14ac:dyDescent="0.25">
      <c r="B122" s="2">
        <v>44800</v>
      </c>
      <c r="C122" s="10"/>
      <c r="D122" s="4"/>
      <c r="E122" s="20"/>
      <c r="F122" s="9"/>
      <c r="G122" s="9"/>
      <c r="H122" s="56"/>
      <c r="I122" s="6"/>
      <c r="J122" s="6"/>
      <c r="K122" s="51"/>
    </row>
    <row r="123" spans="2:11" x14ac:dyDescent="0.25">
      <c r="B123" s="2">
        <v>44801</v>
      </c>
      <c r="C123" s="10"/>
      <c r="D123" s="4"/>
      <c r="E123" s="20"/>
      <c r="F123" s="9"/>
      <c r="G123" s="9"/>
      <c r="H123" s="56"/>
      <c r="I123" s="6"/>
      <c r="J123" s="6"/>
      <c r="K123" s="51"/>
    </row>
    <row r="124" spans="2:11" x14ac:dyDescent="0.25">
      <c r="B124" s="2">
        <v>44802</v>
      </c>
      <c r="C124" s="10"/>
      <c r="D124" s="4"/>
      <c r="E124" s="20"/>
      <c r="F124" s="9"/>
      <c r="G124" s="9"/>
      <c r="H124" s="56"/>
      <c r="I124" s="6"/>
      <c r="J124" s="6"/>
      <c r="K124" s="51"/>
    </row>
    <row r="125" spans="2:11" x14ac:dyDescent="0.25">
      <c r="B125" s="2">
        <v>44803</v>
      </c>
      <c r="C125" s="10"/>
      <c r="D125" s="4"/>
      <c r="E125" s="20"/>
      <c r="F125" s="9"/>
      <c r="G125" s="9"/>
      <c r="H125" s="56"/>
      <c r="I125" s="6"/>
      <c r="J125" s="6"/>
      <c r="K125" s="51"/>
    </row>
    <row r="126" spans="2:11" x14ac:dyDescent="0.25">
      <c r="B126" s="2">
        <v>44804</v>
      </c>
      <c r="C126" s="10"/>
      <c r="D126" s="4"/>
      <c r="E126" s="20"/>
      <c r="F126" s="9"/>
      <c r="G126" s="9"/>
      <c r="H126" s="56"/>
      <c r="I126" s="6"/>
      <c r="J126" s="6"/>
      <c r="K126" s="51"/>
    </row>
    <row r="127" spans="2:11" x14ac:dyDescent="0.25">
      <c r="B127" s="2">
        <v>44805</v>
      </c>
      <c r="C127" s="10"/>
      <c r="D127" s="4"/>
      <c r="E127" s="20"/>
      <c r="F127" s="9"/>
      <c r="G127" s="9"/>
      <c r="H127" s="56"/>
      <c r="I127" s="6"/>
      <c r="J127" s="6"/>
      <c r="K127" s="51"/>
    </row>
    <row r="128" spans="2:11" x14ac:dyDescent="0.25">
      <c r="B128" s="2">
        <v>44806</v>
      </c>
      <c r="C128" s="10"/>
      <c r="D128" s="4"/>
      <c r="E128" s="20"/>
      <c r="F128" s="9"/>
      <c r="G128" s="9"/>
      <c r="H128" s="56"/>
      <c r="I128" s="6"/>
      <c r="J128" s="6"/>
      <c r="K128" s="51"/>
    </row>
    <row r="129" spans="2:11" x14ac:dyDescent="0.25">
      <c r="B129" s="2">
        <v>44807</v>
      </c>
      <c r="C129" s="10"/>
      <c r="D129" s="4"/>
      <c r="E129" s="20"/>
      <c r="F129" s="9"/>
      <c r="G129" s="9"/>
      <c r="H129" s="56"/>
      <c r="I129" s="6"/>
      <c r="J129" s="6"/>
      <c r="K129" s="51"/>
    </row>
    <row r="130" spans="2:11" x14ac:dyDescent="0.25">
      <c r="B130" s="2">
        <v>44808</v>
      </c>
      <c r="C130" s="10"/>
      <c r="D130" s="4"/>
      <c r="E130" s="20"/>
      <c r="F130" s="9"/>
      <c r="G130" s="9"/>
      <c r="H130" s="56"/>
      <c r="I130" s="6"/>
      <c r="J130" s="6"/>
      <c r="K130" s="51"/>
    </row>
    <row r="131" spans="2:11" x14ac:dyDescent="0.25">
      <c r="B131" s="2">
        <v>44809</v>
      </c>
      <c r="C131" s="10"/>
      <c r="D131" s="4"/>
      <c r="E131" s="20"/>
      <c r="F131" s="9"/>
      <c r="G131" s="9"/>
      <c r="H131" s="56"/>
      <c r="I131" s="6"/>
      <c r="J131" s="6"/>
      <c r="K131" s="51"/>
    </row>
    <row r="132" spans="2:11" x14ac:dyDescent="0.25">
      <c r="B132" s="2">
        <v>44810</v>
      </c>
      <c r="C132" s="10"/>
      <c r="D132" s="4"/>
      <c r="E132" s="20"/>
      <c r="F132" s="9"/>
      <c r="G132" s="9"/>
      <c r="H132" s="56"/>
      <c r="I132" s="6"/>
      <c r="J132" s="6"/>
      <c r="K132" s="51"/>
    </row>
    <row r="133" spans="2:11" x14ac:dyDescent="0.25">
      <c r="B133" s="2">
        <v>44811</v>
      </c>
      <c r="C133" s="10"/>
      <c r="D133" s="4"/>
      <c r="E133" s="20"/>
      <c r="F133" s="9"/>
      <c r="G133" s="9"/>
      <c r="H133" s="56"/>
      <c r="I133" s="6"/>
      <c r="J133" s="6"/>
      <c r="K133" s="51"/>
    </row>
    <row r="134" spans="2:11" x14ac:dyDescent="0.25">
      <c r="B134" s="2">
        <v>44812</v>
      </c>
      <c r="C134" s="10"/>
      <c r="D134" s="4"/>
      <c r="E134" s="20"/>
      <c r="F134" s="9"/>
      <c r="G134" s="9"/>
      <c r="H134" s="56"/>
      <c r="I134" s="6"/>
      <c r="J134" s="6"/>
      <c r="K134" s="51"/>
    </row>
    <row r="135" spans="2:11" x14ac:dyDescent="0.25">
      <c r="B135" s="2">
        <v>44813</v>
      </c>
      <c r="C135" s="10"/>
      <c r="D135" s="4"/>
      <c r="E135" s="20"/>
      <c r="F135" s="9"/>
      <c r="G135" s="9"/>
      <c r="H135" s="56"/>
      <c r="I135" s="6"/>
      <c r="J135" s="6"/>
      <c r="K135" s="51"/>
    </row>
    <row r="136" spans="2:11" x14ac:dyDescent="0.25">
      <c r="B136" s="2">
        <v>44814</v>
      </c>
      <c r="C136" s="10"/>
      <c r="D136" s="4"/>
      <c r="E136" s="20"/>
      <c r="F136" s="9"/>
      <c r="G136" s="9"/>
      <c r="H136" s="56"/>
      <c r="I136" s="6"/>
      <c r="J136" s="6"/>
      <c r="K136" s="51"/>
    </row>
    <row r="137" spans="2:11" x14ac:dyDescent="0.25">
      <c r="B137" s="2">
        <v>44815</v>
      </c>
      <c r="C137" s="10"/>
      <c r="D137" s="4"/>
      <c r="E137" s="20"/>
      <c r="F137" s="9"/>
      <c r="G137" s="9"/>
      <c r="H137" s="56"/>
      <c r="I137" s="6"/>
      <c r="J137" s="6"/>
      <c r="K137" s="51"/>
    </row>
    <row r="138" spans="2:11" x14ac:dyDescent="0.25">
      <c r="B138" s="2">
        <v>44816</v>
      </c>
      <c r="C138" s="10"/>
      <c r="D138" s="4"/>
      <c r="E138" s="20"/>
      <c r="F138" s="9"/>
      <c r="G138" s="9"/>
      <c r="H138" s="56"/>
      <c r="I138" s="6"/>
      <c r="J138" s="6"/>
      <c r="K138" s="51"/>
    </row>
    <row r="139" spans="2:11" x14ac:dyDescent="0.25">
      <c r="B139" s="2">
        <v>44817</v>
      </c>
      <c r="C139" s="10"/>
      <c r="D139" s="4"/>
      <c r="E139" s="20"/>
      <c r="F139" s="9"/>
      <c r="G139" s="9"/>
      <c r="H139" s="56"/>
      <c r="I139" s="6"/>
      <c r="J139" s="6"/>
      <c r="K139" s="51"/>
    </row>
    <row r="140" spans="2:11" x14ac:dyDescent="0.25">
      <c r="B140" s="2">
        <v>44818</v>
      </c>
      <c r="C140" s="10"/>
      <c r="D140" s="4"/>
      <c r="E140" s="20"/>
      <c r="F140" s="9"/>
      <c r="G140" s="9"/>
      <c r="H140" s="56"/>
      <c r="I140" s="6"/>
      <c r="J140" s="6"/>
      <c r="K140" s="51"/>
    </row>
    <row r="141" spans="2:11" x14ac:dyDescent="0.25">
      <c r="B141" s="2">
        <v>44819</v>
      </c>
      <c r="C141" s="10"/>
      <c r="D141" s="4"/>
      <c r="E141" s="20"/>
      <c r="F141" s="9"/>
      <c r="G141" s="9"/>
      <c r="H141" s="56"/>
      <c r="I141" s="6"/>
      <c r="J141" s="6"/>
      <c r="K141" s="51"/>
    </row>
    <row r="142" spans="2:11" x14ac:dyDescent="0.25">
      <c r="B142" s="2">
        <v>44820</v>
      </c>
      <c r="C142" s="10"/>
      <c r="D142" s="4"/>
      <c r="E142" s="20"/>
      <c r="F142" s="9"/>
      <c r="G142" s="9"/>
      <c r="H142" s="56"/>
      <c r="I142" s="6"/>
      <c r="J142" s="6"/>
      <c r="K142" s="51"/>
    </row>
    <row r="143" spans="2:11" x14ac:dyDescent="0.25">
      <c r="B143" s="2">
        <v>44821</v>
      </c>
      <c r="C143" s="10"/>
      <c r="D143" s="4"/>
      <c r="E143" s="20"/>
      <c r="F143" s="9"/>
      <c r="G143" s="9"/>
      <c r="H143" s="56"/>
      <c r="I143" s="6"/>
      <c r="J143" s="6"/>
      <c r="K143" s="51"/>
    </row>
    <row r="144" spans="2:11" x14ac:dyDescent="0.25">
      <c r="B144" s="2">
        <v>44822</v>
      </c>
      <c r="C144" s="10"/>
      <c r="D144" s="4"/>
      <c r="E144" s="20"/>
      <c r="F144" s="9"/>
      <c r="G144" s="9"/>
      <c r="H144" s="56"/>
      <c r="I144" s="6"/>
      <c r="J144" s="6"/>
      <c r="K144" s="51"/>
    </row>
    <row r="145" spans="2:11" x14ac:dyDescent="0.25">
      <c r="B145" s="2">
        <v>44823</v>
      </c>
      <c r="C145" s="10"/>
      <c r="D145" s="4"/>
      <c r="E145" s="20"/>
      <c r="F145" s="9"/>
      <c r="G145" s="9"/>
      <c r="H145" s="56"/>
      <c r="I145" s="6"/>
      <c r="J145" s="6"/>
      <c r="K145" s="51"/>
    </row>
    <row r="146" spans="2:11" x14ac:dyDescent="0.25">
      <c r="B146" s="2">
        <v>44824</v>
      </c>
      <c r="C146" s="10"/>
      <c r="D146" s="4"/>
      <c r="E146" s="20"/>
      <c r="F146" s="9"/>
      <c r="G146" s="9"/>
      <c r="H146" s="56"/>
      <c r="I146" s="6"/>
      <c r="J146" s="6"/>
      <c r="K146" s="51"/>
    </row>
    <row r="147" spans="2:11" x14ac:dyDescent="0.25">
      <c r="B147" s="2">
        <v>44825</v>
      </c>
      <c r="C147" s="10"/>
      <c r="D147" s="4"/>
      <c r="E147" s="20"/>
      <c r="F147" s="9"/>
      <c r="G147" s="9"/>
      <c r="H147" s="56"/>
      <c r="I147" s="6"/>
      <c r="J147" s="6"/>
      <c r="K147" s="51"/>
    </row>
    <row r="148" spans="2:11" x14ac:dyDescent="0.25">
      <c r="B148" s="2">
        <v>44826</v>
      </c>
      <c r="C148" s="10"/>
      <c r="D148" s="4"/>
      <c r="E148" s="20"/>
      <c r="F148" s="9"/>
      <c r="G148" s="9"/>
      <c r="H148" s="56"/>
      <c r="I148" s="6"/>
      <c r="J148" s="6"/>
      <c r="K148" s="51"/>
    </row>
    <row r="149" spans="2:11" x14ac:dyDescent="0.25">
      <c r="B149" s="2">
        <v>44827</v>
      </c>
      <c r="C149" s="10"/>
      <c r="D149" s="4"/>
      <c r="E149" s="20"/>
      <c r="F149" s="9"/>
      <c r="G149" s="9"/>
      <c r="H149" s="56"/>
      <c r="I149" s="6"/>
      <c r="J149" s="6"/>
      <c r="K149" s="51"/>
    </row>
    <row r="150" spans="2:11" x14ac:dyDescent="0.25">
      <c r="B150" s="2">
        <v>44828</v>
      </c>
      <c r="C150" s="10"/>
      <c r="D150" s="4"/>
      <c r="E150" s="20"/>
      <c r="F150" s="9"/>
      <c r="G150" s="9"/>
      <c r="H150" s="56"/>
      <c r="I150" s="6"/>
      <c r="J150" s="6"/>
      <c r="K150" s="51"/>
    </row>
    <row r="151" spans="2:11" x14ac:dyDescent="0.25">
      <c r="B151" s="2">
        <v>44829</v>
      </c>
      <c r="C151" s="10"/>
      <c r="D151" s="4"/>
      <c r="E151" s="20"/>
      <c r="F151" s="9"/>
      <c r="G151" s="9"/>
      <c r="H151" s="56"/>
      <c r="I151" s="6"/>
      <c r="J151" s="6"/>
      <c r="K151" s="51"/>
    </row>
    <row r="152" spans="2:11" x14ac:dyDescent="0.25">
      <c r="B152" s="2">
        <v>44830</v>
      </c>
      <c r="C152" s="10"/>
      <c r="D152" s="4"/>
      <c r="E152" s="20"/>
      <c r="F152" s="9"/>
      <c r="G152" s="9"/>
      <c r="H152" s="56"/>
      <c r="I152" s="6"/>
      <c r="J152" s="6"/>
      <c r="K152" s="51"/>
    </row>
    <row r="153" spans="2:11" x14ac:dyDescent="0.25">
      <c r="B153" s="2">
        <v>44831</v>
      </c>
      <c r="C153" s="10"/>
      <c r="D153" s="4"/>
      <c r="E153" s="20"/>
      <c r="F153" s="9"/>
      <c r="G153" s="9"/>
      <c r="H153" s="56"/>
      <c r="I153" s="6"/>
      <c r="J153" s="6"/>
      <c r="K153" s="51"/>
    </row>
    <row r="154" spans="2:11" x14ac:dyDescent="0.25">
      <c r="B154" s="2">
        <v>44832</v>
      </c>
      <c r="C154" s="10"/>
      <c r="D154" s="4"/>
      <c r="E154" s="20"/>
      <c r="F154" s="9"/>
      <c r="G154" s="9"/>
      <c r="H154" s="56"/>
      <c r="I154" s="6"/>
      <c r="J154" s="6"/>
      <c r="K154" s="51"/>
    </row>
    <row r="155" spans="2:11" x14ac:dyDescent="0.25">
      <c r="B155" s="2">
        <v>44833</v>
      </c>
      <c r="C155" s="10"/>
      <c r="D155" s="4"/>
      <c r="E155" s="20"/>
      <c r="F155" s="9"/>
      <c r="G155" s="9"/>
      <c r="H155" s="56"/>
      <c r="I155" s="6"/>
      <c r="J155" s="6"/>
      <c r="K155" s="51"/>
    </row>
    <row r="156" spans="2:11" x14ac:dyDescent="0.25">
      <c r="B156" s="2">
        <v>44834</v>
      </c>
      <c r="C156" s="10"/>
      <c r="D156" s="4"/>
      <c r="E156" s="20"/>
      <c r="F156" s="9"/>
      <c r="G156" s="9"/>
      <c r="H156" s="56"/>
      <c r="I156" s="57"/>
      <c r="J156" s="57"/>
      <c r="K156" s="58"/>
    </row>
    <row r="157" spans="2:11" x14ac:dyDescent="0.25">
      <c r="C157" s="7"/>
      <c r="D157" s="1"/>
      <c r="E157" s="17"/>
      <c r="F157" s="7"/>
      <c r="G157" s="7"/>
    </row>
    <row r="158" spans="2:11" x14ac:dyDescent="0.25">
      <c r="C158" s="61" t="s">
        <v>3</v>
      </c>
      <c r="D158" s="62" t="s">
        <v>20</v>
      </c>
      <c r="E158" s="63" t="s">
        <v>4</v>
      </c>
      <c r="F158" s="64" t="s">
        <v>5</v>
      </c>
      <c r="G158" s="64" t="s">
        <v>6</v>
      </c>
      <c r="H158" s="65" t="s">
        <v>7</v>
      </c>
      <c r="I158" s="66" t="s">
        <v>17</v>
      </c>
      <c r="J158" s="66" t="s">
        <v>22</v>
      </c>
      <c r="K158" s="59" t="s">
        <v>23</v>
      </c>
    </row>
    <row r="159" spans="2:11" x14ac:dyDescent="0.25">
      <c r="K159"/>
    </row>
    <row r="160" spans="2:11" x14ac:dyDescent="0.25">
      <c r="K160"/>
    </row>
    <row r="161" spans="11:11" x14ac:dyDescent="0.25">
      <c r="K161"/>
    </row>
    <row r="162" spans="11:11" x14ac:dyDescent="0.25">
      <c r="K162"/>
    </row>
    <row r="163" spans="11:11" x14ac:dyDescent="0.25">
      <c r="K163"/>
    </row>
    <row r="164" spans="11:11" x14ac:dyDescent="0.25">
      <c r="K164"/>
    </row>
    <row r="165" spans="11:11" x14ac:dyDescent="0.25">
      <c r="K165"/>
    </row>
    <row r="166" spans="11:11" x14ac:dyDescent="0.25">
      <c r="K166"/>
    </row>
    <row r="167" spans="11:11" x14ac:dyDescent="0.25">
      <c r="K167"/>
    </row>
    <row r="168" spans="11:11" x14ac:dyDescent="0.25">
      <c r="K168"/>
    </row>
    <row r="169" spans="11:11" x14ac:dyDescent="0.25">
      <c r="K169"/>
    </row>
    <row r="170" spans="11:11" x14ac:dyDescent="0.25">
      <c r="K170"/>
    </row>
    <row r="171" spans="11:11" x14ac:dyDescent="0.25">
      <c r="K171"/>
    </row>
    <row r="172" spans="11:11" x14ac:dyDescent="0.25">
      <c r="K172"/>
    </row>
    <row r="173" spans="11:11" x14ac:dyDescent="0.25">
      <c r="K173"/>
    </row>
    <row r="174" spans="11:11" x14ac:dyDescent="0.25">
      <c r="K174"/>
    </row>
    <row r="175" spans="11:11" x14ac:dyDescent="0.25">
      <c r="K175"/>
    </row>
    <row r="176" spans="11:11" x14ac:dyDescent="0.25">
      <c r="K176"/>
    </row>
    <row r="177" spans="11:11" x14ac:dyDescent="0.25">
      <c r="K177"/>
    </row>
    <row r="178" spans="11:11" x14ac:dyDescent="0.25">
      <c r="K178"/>
    </row>
    <row r="179" spans="11:11" x14ac:dyDescent="0.25">
      <c r="K179"/>
    </row>
    <row r="180" spans="11:11" x14ac:dyDescent="0.25">
      <c r="K180"/>
    </row>
    <row r="181" spans="11:11" x14ac:dyDescent="0.25">
      <c r="K181"/>
    </row>
    <row r="182" spans="11:11" x14ac:dyDescent="0.25">
      <c r="K182"/>
    </row>
    <row r="183" spans="11:11" x14ac:dyDescent="0.25">
      <c r="K183"/>
    </row>
    <row r="184" spans="11:11" x14ac:dyDescent="0.25">
      <c r="K184"/>
    </row>
    <row r="185" spans="11:11" x14ac:dyDescent="0.25">
      <c r="K185"/>
    </row>
    <row r="186" spans="11:11" x14ac:dyDescent="0.25">
      <c r="K186"/>
    </row>
    <row r="187" spans="11:11" x14ac:dyDescent="0.25">
      <c r="K187"/>
    </row>
    <row r="188" spans="11:11" x14ac:dyDescent="0.25">
      <c r="K188"/>
    </row>
    <row r="189" spans="11:11" x14ac:dyDescent="0.25">
      <c r="K189"/>
    </row>
    <row r="190" spans="11:11" x14ac:dyDescent="0.25">
      <c r="K190"/>
    </row>
    <row r="191" spans="11:11" x14ac:dyDescent="0.25">
      <c r="K191"/>
    </row>
    <row r="192" spans="11:11" x14ac:dyDescent="0.25">
      <c r="K192"/>
    </row>
    <row r="193" spans="11:11" x14ac:dyDescent="0.25">
      <c r="K193"/>
    </row>
    <row r="194" spans="11:11" x14ac:dyDescent="0.25">
      <c r="K194"/>
    </row>
    <row r="195" spans="11:11" x14ac:dyDescent="0.25">
      <c r="K195"/>
    </row>
    <row r="196" spans="11:11" x14ac:dyDescent="0.25">
      <c r="K196"/>
    </row>
    <row r="197" spans="11:11" x14ac:dyDescent="0.25">
      <c r="K197"/>
    </row>
    <row r="198" spans="11:11" x14ac:dyDescent="0.25">
      <c r="K198"/>
    </row>
    <row r="199" spans="11:11" x14ac:dyDescent="0.25">
      <c r="K199"/>
    </row>
    <row r="200" spans="11:11" x14ac:dyDescent="0.25">
      <c r="K200"/>
    </row>
    <row r="201" spans="11:11" x14ac:dyDescent="0.25">
      <c r="K201"/>
    </row>
    <row r="202" spans="11:11" x14ac:dyDescent="0.25">
      <c r="K202"/>
    </row>
    <row r="203" spans="11:11" x14ac:dyDescent="0.25">
      <c r="K203"/>
    </row>
    <row r="204" spans="11:11" x14ac:dyDescent="0.25">
      <c r="K204"/>
    </row>
    <row r="205" spans="11:11" x14ac:dyDescent="0.25">
      <c r="K205"/>
    </row>
    <row r="206" spans="11:11" x14ac:dyDescent="0.25">
      <c r="K206"/>
    </row>
    <row r="207" spans="11:11" x14ac:dyDescent="0.25">
      <c r="K207"/>
    </row>
    <row r="208" spans="11:11" x14ac:dyDescent="0.25">
      <c r="K208"/>
    </row>
    <row r="209" spans="11:11" x14ac:dyDescent="0.25">
      <c r="K209"/>
    </row>
    <row r="210" spans="11:11" x14ac:dyDescent="0.25">
      <c r="K210"/>
    </row>
    <row r="211" spans="11:11" x14ac:dyDescent="0.25">
      <c r="K211"/>
    </row>
    <row r="212" spans="11:11" x14ac:dyDescent="0.25">
      <c r="K212"/>
    </row>
    <row r="213" spans="11:11" x14ac:dyDescent="0.25">
      <c r="K213"/>
    </row>
    <row r="214" spans="11:11" x14ac:dyDescent="0.25">
      <c r="K214"/>
    </row>
    <row r="215" spans="11:11" x14ac:dyDescent="0.25">
      <c r="K215"/>
    </row>
    <row r="216" spans="11:11" x14ac:dyDescent="0.25">
      <c r="K216"/>
    </row>
    <row r="217" spans="11:11" x14ac:dyDescent="0.25">
      <c r="K217"/>
    </row>
    <row r="218" spans="11:11" x14ac:dyDescent="0.25">
      <c r="K218"/>
    </row>
    <row r="219" spans="11:11" x14ac:dyDescent="0.25">
      <c r="K219"/>
    </row>
    <row r="220" spans="11:11" x14ac:dyDescent="0.25">
      <c r="K220"/>
    </row>
    <row r="221" spans="11:11" x14ac:dyDescent="0.25">
      <c r="K221"/>
    </row>
    <row r="222" spans="11:11" x14ac:dyDescent="0.25">
      <c r="K222"/>
    </row>
    <row r="223" spans="11:11" x14ac:dyDescent="0.25">
      <c r="K223"/>
    </row>
    <row r="224" spans="11:11" x14ac:dyDescent="0.25">
      <c r="K224"/>
    </row>
    <row r="225" spans="11:11" x14ac:dyDescent="0.25">
      <c r="K225"/>
    </row>
    <row r="226" spans="11:11" x14ac:dyDescent="0.25">
      <c r="K226"/>
    </row>
    <row r="227" spans="11:11" x14ac:dyDescent="0.25">
      <c r="K227"/>
    </row>
    <row r="228" spans="11:11" x14ac:dyDescent="0.25">
      <c r="K228"/>
    </row>
    <row r="229" spans="11:11" x14ac:dyDescent="0.25">
      <c r="K229"/>
    </row>
    <row r="230" spans="11:11" x14ac:dyDescent="0.25">
      <c r="K230"/>
    </row>
    <row r="231" spans="11:11" x14ac:dyDescent="0.25">
      <c r="K231"/>
    </row>
    <row r="232" spans="11:11" x14ac:dyDescent="0.25">
      <c r="K232"/>
    </row>
    <row r="233" spans="11:11" x14ac:dyDescent="0.25">
      <c r="K233"/>
    </row>
    <row r="234" spans="11:11" x14ac:dyDescent="0.25">
      <c r="K234"/>
    </row>
    <row r="235" spans="11:11" x14ac:dyDescent="0.25">
      <c r="K235"/>
    </row>
    <row r="236" spans="11:11" x14ac:dyDescent="0.25">
      <c r="K236"/>
    </row>
    <row r="237" spans="11:11" x14ac:dyDescent="0.25">
      <c r="K237"/>
    </row>
    <row r="238" spans="11:11" x14ac:dyDescent="0.25">
      <c r="K238"/>
    </row>
    <row r="239" spans="11:11" x14ac:dyDescent="0.25">
      <c r="K239"/>
    </row>
    <row r="240" spans="11:11" x14ac:dyDescent="0.25">
      <c r="K240"/>
    </row>
    <row r="241" spans="11:11" x14ac:dyDescent="0.25">
      <c r="K241"/>
    </row>
    <row r="242" spans="11:11" x14ac:dyDescent="0.25">
      <c r="K242"/>
    </row>
    <row r="243" spans="11:11" x14ac:dyDescent="0.25">
      <c r="K243"/>
    </row>
    <row r="244" spans="11:11" x14ac:dyDescent="0.25">
      <c r="K244"/>
    </row>
    <row r="245" spans="11:11" x14ac:dyDescent="0.25">
      <c r="K245"/>
    </row>
    <row r="246" spans="11:11" x14ac:dyDescent="0.25">
      <c r="K246"/>
    </row>
    <row r="247" spans="11:11" x14ac:dyDescent="0.25">
      <c r="K247"/>
    </row>
    <row r="248" spans="11:11" x14ac:dyDescent="0.25">
      <c r="K248"/>
    </row>
    <row r="249" spans="11:11" x14ac:dyDescent="0.25">
      <c r="K249"/>
    </row>
    <row r="250" spans="11:11" x14ac:dyDescent="0.25">
      <c r="K250"/>
    </row>
    <row r="251" spans="11:11" x14ac:dyDescent="0.25">
      <c r="K251"/>
    </row>
    <row r="252" spans="11:11" x14ac:dyDescent="0.25">
      <c r="K252"/>
    </row>
    <row r="253" spans="11:11" x14ac:dyDescent="0.25">
      <c r="K253"/>
    </row>
    <row r="254" spans="11:11" x14ac:dyDescent="0.25">
      <c r="K254"/>
    </row>
    <row r="255" spans="11:11" x14ac:dyDescent="0.25">
      <c r="K255"/>
    </row>
    <row r="256" spans="11:11" x14ac:dyDescent="0.25">
      <c r="K256"/>
    </row>
    <row r="257" spans="11:11" x14ac:dyDescent="0.25">
      <c r="K257"/>
    </row>
    <row r="258" spans="11:11" x14ac:dyDescent="0.25">
      <c r="K258"/>
    </row>
    <row r="259" spans="11:11" x14ac:dyDescent="0.25">
      <c r="K259"/>
    </row>
  </sheetData>
  <mergeCells count="13">
    <mergeCell ref="M41:N45"/>
    <mergeCell ref="M46:N47"/>
    <mergeCell ref="M48:N51"/>
    <mergeCell ref="M2:O5"/>
    <mergeCell ref="M6:O7"/>
    <mergeCell ref="M8:O13"/>
    <mergeCell ref="M15:O18"/>
    <mergeCell ref="M19:O20"/>
    <mergeCell ref="M22:O25"/>
    <mergeCell ref="M26:O27"/>
    <mergeCell ref="M32:O35"/>
    <mergeCell ref="M36:O37"/>
    <mergeCell ref="M38:O39"/>
  </mergeCell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Päivävaraus">
                <anchor moveWithCells="1" sizeWithCells="1">
                  <from>
                    <xdr:col>12</xdr:col>
                    <xdr:colOff>66675</xdr:colOff>
                    <xdr:row>7</xdr:row>
                    <xdr:rowOff>85725</xdr:rowOff>
                  </from>
                  <to>
                    <xdr:col>13</xdr:col>
                    <xdr:colOff>219075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Poisto">
                <anchor moveWithCells="1" sizeWithCells="1">
                  <from>
                    <xdr:col>13</xdr:col>
                    <xdr:colOff>285750</xdr:colOff>
                    <xdr:row>7</xdr:row>
                    <xdr:rowOff>85725</xdr:rowOff>
                  </from>
                  <to>
                    <xdr:col>14</xdr:col>
                    <xdr:colOff>561975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Viikkovaraus">
                <anchor moveWithCells="1" sizeWithCells="1">
                  <from>
                    <xdr:col>12</xdr:col>
                    <xdr:colOff>352425</xdr:colOff>
                    <xdr:row>10</xdr:row>
                    <xdr:rowOff>152400</xdr:rowOff>
                  </from>
                  <to>
                    <xdr:col>14</xdr:col>
                    <xdr:colOff>219075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Viikonloppuvaraus">
                <anchor moveWithCells="1" sizeWithCells="1">
                  <from>
                    <xdr:col>12</xdr:col>
                    <xdr:colOff>304800</xdr:colOff>
                    <xdr:row>9</xdr:row>
                    <xdr:rowOff>0</xdr:rowOff>
                  </from>
                  <to>
                    <xdr:col>14</xdr:col>
                    <xdr:colOff>285750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Drop Down 5">
              <controlPr defaultSize="0" autoLine="0" autoPict="0">
                <anchor moveWithCells="1">
                  <from>
                    <xdr:col>12</xdr:col>
                    <xdr:colOff>638175</xdr:colOff>
                    <xdr:row>5</xdr:row>
                    <xdr:rowOff>66675</xdr:rowOff>
                  </from>
                  <to>
                    <xdr:col>13</xdr:col>
                    <xdr:colOff>590550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Drop Down 8">
              <controlPr defaultSize="0" autoLine="0" autoPict="0">
                <anchor moveWithCells="1">
                  <from>
                    <xdr:col>12</xdr:col>
                    <xdr:colOff>85725</xdr:colOff>
                    <xdr:row>16</xdr:row>
                    <xdr:rowOff>142875</xdr:rowOff>
                  </from>
                  <to>
                    <xdr:col>12</xdr:col>
                    <xdr:colOff>1038225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Drop Down 9">
              <controlPr defaultSize="0" autoLine="0" autoPict="0">
                <anchor moveWithCells="1">
                  <from>
                    <xdr:col>13</xdr:col>
                    <xdr:colOff>228600</xdr:colOff>
                    <xdr:row>16</xdr:row>
                    <xdr:rowOff>133350</xdr:rowOff>
                  </from>
                  <to>
                    <xdr:col>14</xdr:col>
                    <xdr:colOff>361950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Customvaraus">
                <anchor moveWithCells="1" sizeWithCells="1">
                  <from>
                    <xdr:col>12</xdr:col>
                    <xdr:colOff>66675</xdr:colOff>
                    <xdr:row>18</xdr:row>
                    <xdr:rowOff>76200</xdr:rowOff>
                  </from>
                  <to>
                    <xdr:col>13</xdr:col>
                    <xdr:colOff>47625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custompoisto">
                <anchor moveWithCells="1" sizeWithCells="1">
                  <from>
                    <xdr:col>13</xdr:col>
                    <xdr:colOff>104775</xdr:colOff>
                    <xdr:row>18</xdr:row>
                    <xdr:rowOff>76200</xdr:rowOff>
                  </from>
                  <to>
                    <xdr:col>14</xdr:col>
                    <xdr:colOff>542925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3" name="Drop Down 15">
              <controlPr defaultSize="0" autoLine="0" autoPict="0">
                <anchor moveWithCells="1">
                  <from>
                    <xdr:col>12</xdr:col>
                    <xdr:colOff>66675</xdr:colOff>
                    <xdr:row>25</xdr:row>
                    <xdr:rowOff>28575</xdr:rowOff>
                  </from>
                  <to>
                    <xdr:col>12</xdr:col>
                    <xdr:colOff>1381125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4" name="Scroll Bar 16">
              <controlPr defaultSize="0" autoPict="0">
                <anchor moveWithCells="1">
                  <from>
                    <xdr:col>12</xdr:col>
                    <xdr:colOff>19050</xdr:colOff>
                    <xdr:row>28</xdr:row>
                    <xdr:rowOff>0</xdr:rowOff>
                  </from>
                  <to>
                    <xdr:col>14</xdr:col>
                    <xdr:colOff>600075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5" name="Button 17">
              <controlPr defaultSize="0" print="0" autoFill="0" autoPict="0" macro="[0]!Kopiointi">
                <anchor moveWithCells="1" sizeWithCells="1">
                  <from>
                    <xdr:col>12</xdr:col>
                    <xdr:colOff>1419225</xdr:colOff>
                    <xdr:row>25</xdr:row>
                    <xdr:rowOff>38100</xdr:rowOff>
                  </from>
                  <to>
                    <xdr:col>14</xdr:col>
                    <xdr:colOff>561975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6" name="Drop Down 18">
              <controlPr defaultSize="0" autoLine="0" autoPict="0">
                <anchor moveWithCells="1">
                  <from>
                    <xdr:col>12</xdr:col>
                    <xdr:colOff>76200</xdr:colOff>
                    <xdr:row>35</xdr:row>
                    <xdr:rowOff>76200</xdr:rowOff>
                  </from>
                  <to>
                    <xdr:col>12</xdr:col>
                    <xdr:colOff>1276350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7" name="Drop Down 19">
              <controlPr defaultSize="0" autoLine="0" autoPict="0">
                <anchor moveWithCells="1">
                  <from>
                    <xdr:col>12</xdr:col>
                    <xdr:colOff>1362075</xdr:colOff>
                    <xdr:row>35</xdr:row>
                    <xdr:rowOff>76200</xdr:rowOff>
                  </from>
                  <to>
                    <xdr:col>14</xdr:col>
                    <xdr:colOff>381000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8" name="Button 20">
              <controlPr defaultSize="0" print="0" autoFill="0" autoPict="0" macro="[0]!Muokkaus">
                <anchor moveWithCells="1" sizeWithCells="1">
                  <from>
                    <xdr:col>12</xdr:col>
                    <xdr:colOff>847725</xdr:colOff>
                    <xdr:row>37</xdr:row>
                    <xdr:rowOff>47625</xdr:rowOff>
                  </from>
                  <to>
                    <xdr:col>13</xdr:col>
                    <xdr:colOff>304800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19" name="Drop Down 26">
              <controlPr defaultSize="0" autoLine="0" autoPict="0">
                <anchor moveWithCells="1">
                  <from>
                    <xdr:col>12</xdr:col>
                    <xdr:colOff>57150</xdr:colOff>
                    <xdr:row>45</xdr:row>
                    <xdr:rowOff>38100</xdr:rowOff>
                  </from>
                  <to>
                    <xdr:col>12</xdr:col>
                    <xdr:colOff>866775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20" name="Drop Down 27">
              <controlPr defaultSize="0" autoLine="0" autoPict="0">
                <anchor moveWithCells="1">
                  <from>
                    <xdr:col>12</xdr:col>
                    <xdr:colOff>1466850</xdr:colOff>
                    <xdr:row>45</xdr:row>
                    <xdr:rowOff>47625</xdr:rowOff>
                  </from>
                  <to>
                    <xdr:col>13</xdr:col>
                    <xdr:colOff>752475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1" name="Button 28">
              <controlPr defaultSize="0" print="0" autoFill="0" autoPict="0" macro="[0]!Suodatus">
                <anchor moveWithCells="1" sizeWithCells="1">
                  <from>
                    <xdr:col>12</xdr:col>
                    <xdr:colOff>1276350</xdr:colOff>
                    <xdr:row>47</xdr:row>
                    <xdr:rowOff>57150</xdr:rowOff>
                  </from>
                  <to>
                    <xdr:col>13</xdr:col>
                    <xdr:colOff>752475</xdr:colOff>
                    <xdr:row>48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2" name="Option Button 29">
              <controlPr defaultSize="0" autoFill="0" autoLine="0" autoPict="0">
                <anchor moveWithCells="1">
                  <from>
                    <xdr:col>12</xdr:col>
                    <xdr:colOff>123825</xdr:colOff>
                    <xdr:row>46</xdr:row>
                    <xdr:rowOff>152400</xdr:rowOff>
                  </from>
                  <to>
                    <xdr:col>12</xdr:col>
                    <xdr:colOff>1457325</xdr:colOff>
                    <xdr:row>48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23" name="Option Button 30">
              <controlPr defaultSize="0" autoFill="0" autoLine="0" autoPict="0">
                <anchor moveWithCells="1">
                  <from>
                    <xdr:col>12</xdr:col>
                    <xdr:colOff>123825</xdr:colOff>
                    <xdr:row>48</xdr:row>
                    <xdr:rowOff>47625</xdr:rowOff>
                  </from>
                  <to>
                    <xdr:col>12</xdr:col>
                    <xdr:colOff>1133475</xdr:colOff>
                    <xdr:row>49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4" name="Option Button 31">
              <controlPr defaultSize="0" autoFill="0" autoLine="0" autoPict="0">
                <anchor moveWithCells="1">
                  <from>
                    <xdr:col>12</xdr:col>
                    <xdr:colOff>123825</xdr:colOff>
                    <xdr:row>49</xdr:row>
                    <xdr:rowOff>66675</xdr:rowOff>
                  </from>
                  <to>
                    <xdr:col>12</xdr:col>
                    <xdr:colOff>1238250</xdr:colOff>
                    <xdr:row>50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25" name="Button 32">
              <controlPr defaultSize="0" print="0" autoFill="0" autoPict="0" macro="[0]!Suodatuspoisto">
                <anchor moveWithCells="1" sizeWithCells="1">
                  <from>
                    <xdr:col>12</xdr:col>
                    <xdr:colOff>1276350</xdr:colOff>
                    <xdr:row>49</xdr:row>
                    <xdr:rowOff>19050</xdr:rowOff>
                  </from>
                  <to>
                    <xdr:col>13</xdr:col>
                    <xdr:colOff>752475</xdr:colOff>
                    <xdr:row>50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2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7E522-2CD1-4279-877A-E835F4FED55B}">
  <sheetPr codeName="Sheet2"/>
  <dimension ref="A1:AB156"/>
  <sheetViews>
    <sheetView workbookViewId="0">
      <selection activeCell="C25" sqref="C25"/>
    </sheetView>
  </sheetViews>
  <sheetFormatPr defaultRowHeight="15" x14ac:dyDescent="0.25"/>
  <cols>
    <col min="2" max="2" width="15.28515625" customWidth="1"/>
    <col min="3" max="3" width="18.140625" customWidth="1"/>
    <col min="4" max="5" width="13.7109375" customWidth="1"/>
    <col min="6" max="6" width="15.5703125" customWidth="1"/>
    <col min="7" max="8" width="13.7109375" customWidth="1"/>
    <col min="9" max="9" width="16.5703125" customWidth="1"/>
    <col min="11" max="11" width="13.7109375" customWidth="1"/>
    <col min="12" max="12" width="16.42578125" customWidth="1"/>
    <col min="13" max="14" width="13.7109375" customWidth="1"/>
    <col min="15" max="15" width="17.42578125" customWidth="1"/>
    <col min="16" max="17" width="13.7109375" customWidth="1"/>
    <col min="18" max="18" width="10.7109375" customWidth="1"/>
    <col min="19" max="25" width="13.7109375" customWidth="1"/>
    <col min="26" max="27" width="10.7109375" customWidth="1"/>
  </cols>
  <sheetData>
    <row r="1" spans="1:28" x14ac:dyDescent="0.25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AA1" s="7"/>
      <c r="AB1" s="7"/>
    </row>
    <row r="2" spans="1:28" x14ac:dyDescent="0.25">
      <c r="A2" s="7"/>
      <c r="B2" s="24" t="s">
        <v>11</v>
      </c>
      <c r="C2" s="24" t="s">
        <v>12</v>
      </c>
      <c r="E2" s="1" t="s">
        <v>13</v>
      </c>
      <c r="F2" s="1" t="s">
        <v>12</v>
      </c>
      <c r="H2" s="1" t="s">
        <v>14</v>
      </c>
      <c r="I2" s="1" t="s">
        <v>12</v>
      </c>
      <c r="K2" s="1" t="s">
        <v>15</v>
      </c>
      <c r="L2" s="1" t="s">
        <v>12</v>
      </c>
      <c r="N2" s="1" t="s">
        <v>16</v>
      </c>
      <c r="O2" s="1" t="s">
        <v>12</v>
      </c>
      <c r="S2" s="7"/>
      <c r="T2" s="7"/>
      <c r="U2" s="7"/>
      <c r="V2" s="7"/>
      <c r="W2" s="7"/>
      <c r="X2" s="7"/>
      <c r="Y2" s="7"/>
      <c r="AA2" s="7"/>
      <c r="AB2" s="7"/>
    </row>
    <row r="3" spans="1:28" x14ac:dyDescent="0.25">
      <c r="A3" s="7"/>
      <c r="B3" s="3">
        <v>44682</v>
      </c>
      <c r="C3" s="1" t="str" cm="1">
        <f t="array" ref="C3">_xlfn.IFS('A1'!D4+'A2'!D4+'A3'!D4+'A4'!D4=0,"Vapaa",'A1'!D4+'A2'!D4+'A3'!D4+'A4'!D4=1,"3 vapaana",'A1'!D4+'A2'!D4+'A3'!D4+'A4'!D4=2,"2 vapaana",'A1'!D4+'A2'!D4+'A3'!D4+'A4'!D4=3,"1 vapaana",'A1'!D4+'A2'!D4+'A3'!D4+'A4'!D4=4,"Varattu")</f>
        <v>Vapaa</v>
      </c>
      <c r="E3" s="3">
        <v>44713</v>
      </c>
      <c r="F3" s="1" t="str" cm="1">
        <f t="array" ref="F3">_xlfn.IFS('A1'!D35+'A2'!D35+'A3'!D35+'A4'!D35=0,"Vapaa",'A1'!D35+'A2'!D35+'A3'!D35+'A4'!D35=1,"3 vapaana",'A1'!D35+'A2'!D35+'A3'!D35+'A4'!D35=2,"2 vapaana",'A1'!D35+'A2'!D35+'A3'!D35+'A4'!D35=3,"1 vapaana",'A1'!D35+'A2'!D35+'A3'!D35+'A4'!D35=4,"Varattu")</f>
        <v>2 vapaana</v>
      </c>
      <c r="H3" s="3">
        <v>44743</v>
      </c>
      <c r="I3" s="1" t="str" cm="1">
        <f t="array" ref="I3">_xlfn.IFS('A1'!D65+'A2'!D65+'A3'!D65+'A4'!D65=0,"Vapaa",'A1'!D65+'A2'!D65+'A3'!D65+'A4'!D65=1,"3 vapaana",'A1'!D65+'A2'!D65+'A3'!D65+'A4'!D65=2,"2 vapaana",'A1'!D65+'A2'!D65+'A3'!D65+'A4'!D65=3,"1 vapaana",'A1'!D65+'A2'!D65+'A3'!D65+'A4'!D65=4,"Varattu")</f>
        <v>Vapaa</v>
      </c>
      <c r="K3" s="22">
        <v>44774</v>
      </c>
      <c r="L3" s="23" t="str" cm="1">
        <f t="array" ref="L3">_xlfn.IFS('A1'!D96+'A2'!D96+'A3'!D96+'A4'!D96=0,"Vapaa",'A1'!D96+'A2'!D96+'A3'!D96+'A4'!D96=1,"3 vapaana",'A1'!D96+'A2'!D96+'A3'!D96+'A4'!D96=2,"2 vapaana",'A1'!D96+'A2'!D96+'A3'!D96+'A4'!D96=3,"1 vapaana",'A1'!D96+'A2'!D96+'A3'!D96+'A4'!D96=4,"Varattu")</f>
        <v>Vapaa</v>
      </c>
      <c r="N3" s="3">
        <v>44805</v>
      </c>
      <c r="O3" s="1" t="str" cm="1">
        <f t="array" ref="O3">_xlfn.IFS('A1'!D127+'A2'!D127+'A3'!D127+'A4'!D127=0,"Vapaa",'A1'!D127+'A2'!D127+'A3'!D127+'A4'!D127=1,"3 vapaana",'A1'!D127+'A2'!D127+'A3'!D127+'A4'!D127=2,"2 vapaana",'A1'!D127+'A2'!D127+'A3'!D127+'A4'!D127=3,"1 vapaana",'A1'!D127+'A2'!D127+'A3'!D127+'A4'!D127=4,"Varattu")</f>
        <v>Vapaa</v>
      </c>
      <c r="AA3" s="7"/>
      <c r="AB3" s="7"/>
    </row>
    <row r="4" spans="1:28" x14ac:dyDescent="0.25">
      <c r="A4" s="7"/>
      <c r="B4" s="3">
        <v>44683</v>
      </c>
      <c r="C4" s="1" t="str" cm="1">
        <f t="array" ref="C4">_xlfn.IFS('A1'!D5+'A2'!D5+'A3'!D5+'A4'!D5=0,"Vapaa",'A1'!D5+'A2'!D5+'A3'!D5+'A4'!D5=1,"3 vapaana",'A1'!D5+'A2'!D5+'A3'!D5+'A4'!D5=2,"2 vapaana",'A1'!D5+'A2'!D5+'A3'!D5+'A4'!D5=3,"1 vapaana",'A1'!D5+'A2'!D5+'A3'!D5+'A4'!D5=4,"Varattu")</f>
        <v>Vapaa</v>
      </c>
      <c r="E4" s="22">
        <v>44714</v>
      </c>
      <c r="F4" s="23" t="str" cm="1">
        <f t="array" ref="F4">_xlfn.IFS('A1'!D36+'A2'!D36+'A3'!D36+'A4'!D36=0,"Vapaa",'A1'!D36+'A2'!D36+'A3'!D36+'A4'!D36=1,"3 vapaana",'A1'!D36+'A2'!D36+'A3'!D36+'A4'!D36=2,"2 vapaana",'A1'!D36+'A2'!D36+'A3'!D36+'A4'!D36=3,"1 vapaana",'A1'!D36+'A2'!D36+'A3'!D36+'A4'!D36=4,"Varattu")</f>
        <v>3 vapaana</v>
      </c>
      <c r="H4" s="22">
        <v>44744</v>
      </c>
      <c r="I4" s="23" t="str" cm="1">
        <f t="array" ref="I4">_xlfn.IFS('A1'!D66+'A2'!D66+'A3'!D66+'A4'!D66=0,"Vapaa",'A1'!D66+'A2'!D66+'A3'!D66+'A4'!D66=1,"3 vapaana",'A1'!D66+'A2'!D66+'A3'!D66+'A4'!D66=2,"2 vapaana",'A1'!D66+'A2'!D66+'A3'!D66+'A4'!D66=3,"1 vapaana",'A1'!D66+'A2'!D66+'A3'!D66+'A4'!D66=4,"Varattu")</f>
        <v>Vapaa</v>
      </c>
      <c r="K4" s="3">
        <v>44775</v>
      </c>
      <c r="L4" s="1" t="str" cm="1">
        <f t="array" ref="L4">_xlfn.IFS('A1'!D97+'A2'!D97+'A3'!D97+'A4'!D97=0,"Vapaa",'A1'!D97+'A2'!D97+'A3'!D97+'A4'!D97=1,"3 vapaana",'A1'!D97+'A2'!D97+'A3'!D97+'A4'!D97=2,"2 vapaana",'A1'!D97+'A2'!D97+'A3'!D97+'A4'!D97=3,"1 vapaana",'A1'!D97+'A2'!D97+'A3'!D97+'A4'!D97=4,"Varattu")</f>
        <v>Vapaa</v>
      </c>
      <c r="N4" s="22">
        <v>44806</v>
      </c>
      <c r="O4" s="23" t="str" cm="1">
        <f t="array" ref="O4">_xlfn.IFS('A1'!D128+'A2'!D128+'A3'!D128+'A4'!D128=0,"Vapaa",'A1'!D128+'A2'!D128+'A3'!D128+'A4'!D128=1,"3 vapaana",'A1'!D128+'A2'!D128+'A3'!D128+'A4'!D128=2,"2 vapaana",'A1'!D128+'A2'!D128+'A3'!D128+'A4'!D128=3,"1 vapaana",'A1'!D128+'A2'!D128+'A3'!D128+'A4'!D128=4,"Varattu")</f>
        <v>Vapaa</v>
      </c>
      <c r="AB4" s="7"/>
    </row>
    <row r="5" spans="1:28" x14ac:dyDescent="0.25">
      <c r="A5" s="7"/>
      <c r="B5" s="3">
        <v>44684</v>
      </c>
      <c r="C5" s="1" t="str" cm="1">
        <f t="array" ref="C5">_xlfn.IFS('A1'!D6+'A2'!D6+'A3'!D6+'A4'!D6=0,"Vapaa",'A1'!D6+'A2'!D6+'A3'!D6+'A4'!D6=1,"3 vapaana",'A1'!D6+'A2'!D6+'A3'!D6+'A4'!D6=2,"2 vapaana",'A1'!D6+'A2'!D6+'A3'!D6+'A4'!D6=3,"1 vapaana",'A1'!D6+'A2'!D6+'A3'!D6+'A4'!D6=4,"Varattu")</f>
        <v>Vapaa</v>
      </c>
      <c r="E5" s="3">
        <v>44715</v>
      </c>
      <c r="F5" s="1" t="str" cm="1">
        <f t="array" ref="F5">_xlfn.IFS('A1'!D37+'A2'!D37+'A3'!D37+'A4'!D37=0,"Vapaa",'A1'!D37+'A2'!D37+'A3'!D37+'A4'!D37=1,"3 vapaana",'A1'!D37+'A2'!D37+'A3'!D37+'A4'!D37=2,"2 vapaana",'A1'!D37+'A2'!D37+'A3'!D37+'A4'!D37=3,"1 vapaana",'A1'!D37+'A2'!D37+'A3'!D37+'A4'!D37=4,"Varattu")</f>
        <v>3 vapaana</v>
      </c>
      <c r="H5" s="3">
        <v>44745</v>
      </c>
      <c r="I5" s="1" t="str" cm="1">
        <f t="array" ref="I5">_xlfn.IFS('A1'!D67+'A2'!D67+'A3'!D67+'A4'!D67=0,"Vapaa",'A1'!D67+'A2'!D67+'A3'!D67+'A4'!D67=1,"3 vapaana",'A1'!D67+'A2'!D67+'A3'!D67+'A4'!D67=2,"2 vapaana",'A1'!D67+'A2'!D67+'A3'!D67+'A4'!D67=3,"1 vapaana",'A1'!D67+'A2'!D67+'A3'!D67+'A4'!D67=4,"Varattu")</f>
        <v>Vapaa</v>
      </c>
      <c r="K5" s="22">
        <v>44776</v>
      </c>
      <c r="L5" s="23" t="str" cm="1">
        <f t="array" ref="L5">_xlfn.IFS('A1'!D98+'A2'!D98+'A3'!D98+'A4'!D98=0,"Vapaa",'A1'!D98+'A2'!D98+'A3'!D98+'A4'!D98=1,"3 vapaana",'A1'!D98+'A2'!D98+'A3'!D98+'A4'!D98=2,"2 vapaana",'A1'!D98+'A2'!D98+'A3'!D98+'A4'!D98=3,"1 vapaana",'A1'!D98+'A2'!D98+'A3'!D98+'A4'!D98=4,"Varattu")</f>
        <v>Vapaa</v>
      </c>
      <c r="N5" s="3">
        <v>44807</v>
      </c>
      <c r="O5" s="1" t="str" cm="1">
        <f t="array" ref="O5">_xlfn.IFS('A1'!D129+'A2'!D129+'A3'!D129+'A4'!D129=0,"Vapaa",'A1'!D129+'A2'!D129+'A3'!D129+'A4'!D129=1,"3 vapaana",'A1'!D129+'A2'!D129+'A3'!D129+'A4'!D129=2,"2 vapaana",'A1'!D129+'A2'!D129+'A3'!D129+'A4'!D129=3,"1 vapaana",'A1'!D129+'A2'!D129+'A3'!D129+'A4'!D129=4,"Varattu")</f>
        <v>Vapaa</v>
      </c>
      <c r="AB5" s="7"/>
    </row>
    <row r="6" spans="1:28" x14ac:dyDescent="0.25">
      <c r="A6" s="7"/>
      <c r="B6" s="3">
        <v>44685</v>
      </c>
      <c r="C6" s="1" t="str" cm="1">
        <f t="array" ref="C6">_xlfn.IFS('A1'!D7+'A2'!D7+'A3'!D7+'A4'!D7=0,"Vapaa",'A1'!D7+'A2'!D7+'A3'!D7+'A4'!D7=1,"3 vapaana",'A1'!D7+'A2'!D7+'A3'!D7+'A4'!D7=2,"2 vapaana",'A1'!D7+'A2'!D7+'A3'!D7+'A4'!D7=3,"1 vapaana",'A1'!D7+'A2'!D7+'A3'!D7+'A4'!D7=4,"Varattu")</f>
        <v>2 vapaana</v>
      </c>
      <c r="E6" s="22">
        <v>44716</v>
      </c>
      <c r="F6" s="23" t="str" cm="1">
        <f t="array" ref="F6">_xlfn.IFS('A1'!D38+'A2'!D38+'A3'!D38+'A4'!D38=0,"Vapaa",'A1'!D38+'A2'!D38+'A3'!D38+'A4'!D38=1,"3 vapaana",'A1'!D38+'A2'!D38+'A3'!D38+'A4'!D38=2,"2 vapaana",'A1'!D38+'A2'!D38+'A3'!D38+'A4'!D38=3,"1 vapaana",'A1'!D38+'A2'!D38+'A3'!D38+'A4'!D38=4,"Varattu")</f>
        <v>2 vapaana</v>
      </c>
      <c r="H6" s="22">
        <v>44746</v>
      </c>
      <c r="I6" s="23" t="str" cm="1">
        <f t="array" ref="I6">_xlfn.IFS('A1'!D68+'A2'!D68+'A3'!D68+'A4'!D68=0,"Vapaa",'A1'!D68+'A2'!D68+'A3'!D68+'A4'!D68=1,"3 vapaana",'A1'!D68+'A2'!D68+'A3'!D68+'A4'!D68=2,"2 vapaana",'A1'!D68+'A2'!D68+'A3'!D68+'A4'!D68=3,"1 vapaana",'A1'!D68+'A2'!D68+'A3'!D68+'A4'!D68=4,"Varattu")</f>
        <v>Vapaa</v>
      </c>
      <c r="K6" s="3">
        <v>44777</v>
      </c>
      <c r="L6" s="1" t="str" cm="1">
        <f t="array" ref="L6">_xlfn.IFS('A1'!D99+'A2'!D99+'A3'!D99+'A4'!D99=0,"Vapaa",'A1'!D99+'A2'!D99+'A3'!D99+'A4'!D99=1,"3 vapaana",'A1'!D99+'A2'!D99+'A3'!D99+'A4'!D99=2,"2 vapaana",'A1'!D99+'A2'!D99+'A3'!D99+'A4'!D99=3,"1 vapaana",'A1'!D99+'A2'!D99+'A3'!D99+'A4'!D99=4,"Varattu")</f>
        <v>Vapaa</v>
      </c>
      <c r="N6" s="22">
        <v>44808</v>
      </c>
      <c r="O6" s="23" t="str" cm="1">
        <f t="array" ref="O6">_xlfn.IFS('A1'!D130+'A2'!D130+'A3'!D130+'A4'!D130=0,"Vapaa",'A1'!D130+'A2'!D130+'A3'!D130+'A4'!D130=1,"3 vapaana",'A1'!D130+'A2'!D130+'A3'!D130+'A4'!D130=2,"2 vapaana",'A1'!D130+'A2'!D130+'A3'!D130+'A4'!D130=3,"1 vapaana",'A1'!D130+'A2'!D130+'A3'!D130+'A4'!D130=4,"Varattu")</f>
        <v>Vapaa</v>
      </c>
      <c r="AB6" s="7"/>
    </row>
    <row r="7" spans="1:28" x14ac:dyDescent="0.25">
      <c r="A7" s="7"/>
      <c r="B7" s="3">
        <v>44686</v>
      </c>
      <c r="C7" s="1" t="str" cm="1">
        <f t="array" ref="C7">_xlfn.IFS('A1'!D8+'A2'!D8+'A3'!D8+'A4'!D8=0,"Vapaa",'A1'!D8+'A2'!D8+'A3'!D8+'A4'!D8=1,"3 vapaana",'A1'!D8+'A2'!D8+'A3'!D8+'A4'!D8=2,"2 vapaana",'A1'!D8+'A2'!D8+'A3'!D8+'A4'!D8=3,"1 vapaana",'A1'!D8+'A2'!D8+'A3'!D8+'A4'!D8=4,"Varattu")</f>
        <v>1 vapaana</v>
      </c>
      <c r="E7" s="3">
        <v>44717</v>
      </c>
      <c r="F7" s="1" t="str" cm="1">
        <f t="array" ref="F7">_xlfn.IFS('A1'!D39+'A2'!D39+'A3'!D39+'A4'!D39=0,"Vapaa",'A1'!D39+'A2'!D39+'A3'!D39+'A4'!D39=1,"3 vapaana",'A1'!D39+'A2'!D39+'A3'!D39+'A4'!D39=2,"2 vapaana",'A1'!D39+'A2'!D39+'A3'!D39+'A4'!D39=3,"1 vapaana",'A1'!D39+'A2'!D39+'A3'!D39+'A4'!D39=4,"Varattu")</f>
        <v>2 vapaana</v>
      </c>
      <c r="H7" s="3">
        <v>44747</v>
      </c>
      <c r="I7" s="1" t="str" cm="1">
        <f t="array" ref="I7">_xlfn.IFS('A1'!D69+'A2'!D69+'A3'!D69+'A4'!D69=0,"Vapaa",'A1'!D69+'A2'!D69+'A3'!D69+'A4'!D69=1,"3 vapaana",'A1'!D69+'A2'!D69+'A3'!D69+'A4'!D69=2,"2 vapaana",'A1'!D69+'A2'!D69+'A3'!D69+'A4'!D69=3,"1 vapaana",'A1'!D69+'A2'!D69+'A3'!D69+'A4'!D69=4,"Varattu")</f>
        <v>Vapaa</v>
      </c>
      <c r="K7" s="22">
        <v>44778</v>
      </c>
      <c r="L7" s="23" t="str" cm="1">
        <f t="array" ref="L7">_xlfn.IFS('A1'!D100+'A2'!D100+'A3'!D100+'A4'!D100=0,"Vapaa",'A1'!D100+'A2'!D100+'A3'!D100+'A4'!D100=1,"3 vapaana",'A1'!D100+'A2'!D100+'A3'!D100+'A4'!D100=2,"2 vapaana",'A1'!D100+'A2'!D100+'A3'!D100+'A4'!D100=3,"1 vapaana",'A1'!D100+'A2'!D100+'A3'!D100+'A4'!D100=4,"Varattu")</f>
        <v>Vapaa</v>
      </c>
      <c r="N7" s="3">
        <v>44809</v>
      </c>
      <c r="O7" s="1" t="str" cm="1">
        <f t="array" ref="O7">_xlfn.IFS('A1'!D131+'A2'!D131+'A3'!D131+'A4'!D131=0,"Vapaa",'A1'!D131+'A2'!D131+'A3'!D131+'A4'!D131=1,"3 vapaana",'A1'!D131+'A2'!D131+'A3'!D131+'A4'!D131=2,"2 vapaana",'A1'!D131+'A2'!D131+'A3'!D131+'A4'!D131=3,"1 vapaana",'A1'!D131+'A2'!D131+'A3'!D131+'A4'!D131=4,"Varattu")</f>
        <v>Vapaa</v>
      </c>
      <c r="AB7" s="7"/>
    </row>
    <row r="8" spans="1:28" x14ac:dyDescent="0.25">
      <c r="A8" s="7"/>
      <c r="B8" s="3">
        <v>44687</v>
      </c>
      <c r="C8" s="1" t="str" cm="1">
        <f t="array" ref="C8">_xlfn.IFS('A1'!D9+'A2'!D9+'A3'!D9+'A4'!D9=0,"Vapaa",'A1'!D9+'A2'!D9+'A3'!D9+'A4'!D9=1,"3 vapaana",'A1'!D9+'A2'!D9+'A3'!D9+'A4'!D9=2,"2 vapaana",'A1'!D9+'A2'!D9+'A3'!D9+'A4'!D9=3,"1 vapaana",'A1'!D9+'A2'!D9+'A3'!D9+'A4'!D9=4,"Varattu")</f>
        <v>1 vapaana</v>
      </c>
      <c r="E8" s="22">
        <v>44718</v>
      </c>
      <c r="F8" s="23" t="str" cm="1">
        <f t="array" ref="F8">_xlfn.IFS('A1'!D40+'A2'!D40+'A3'!D40+'A4'!D40=0,"Vapaa",'A1'!D40+'A2'!D40+'A3'!D40+'A4'!D40=1,"3 vapaana",'A1'!D40+'A2'!D40+'A3'!D40+'A4'!D40=2,"2 vapaana",'A1'!D40+'A2'!D40+'A3'!D40+'A4'!D40=3,"1 vapaana",'A1'!D40+'A2'!D40+'A3'!D40+'A4'!D40=4,"Varattu")</f>
        <v>2 vapaana</v>
      </c>
      <c r="H8" s="22">
        <v>44748</v>
      </c>
      <c r="I8" s="23" t="str" cm="1">
        <f t="array" ref="I8">_xlfn.IFS('A1'!D70+'A2'!D70+'A3'!D70+'A4'!D70=0,"Vapaa",'A1'!D70+'A2'!D70+'A3'!D70+'A4'!D70=1,"3 vapaana",'A1'!D70+'A2'!D70+'A3'!D70+'A4'!D70=2,"2 vapaana",'A1'!D70+'A2'!D70+'A3'!D70+'A4'!D70=3,"1 vapaana",'A1'!D70+'A2'!D70+'A3'!D70+'A4'!D70=4,"Varattu")</f>
        <v>Vapaa</v>
      </c>
      <c r="K8" s="3">
        <v>44779</v>
      </c>
      <c r="L8" s="1" t="str" cm="1">
        <f t="array" ref="L8">_xlfn.IFS('A1'!D101+'A2'!D101+'A3'!D101+'A4'!D101=0,"Vapaa",'A1'!D101+'A2'!D101+'A3'!D101+'A4'!D101=1,"3 vapaana",'A1'!D101+'A2'!D101+'A3'!D101+'A4'!D101=2,"2 vapaana",'A1'!D101+'A2'!D101+'A3'!D101+'A4'!D101=3,"1 vapaana",'A1'!D101+'A2'!D101+'A3'!D101+'A4'!D101=4,"Varattu")</f>
        <v>Vapaa</v>
      </c>
      <c r="N8" s="22">
        <v>44810</v>
      </c>
      <c r="O8" s="23" t="str" cm="1">
        <f t="array" ref="O8">_xlfn.IFS('A1'!D132+'A2'!D132+'A3'!D132+'A4'!D132=0,"Vapaa",'A1'!D132+'A2'!D132+'A3'!D132+'A4'!D132=1,"3 vapaana",'A1'!D132+'A2'!D132+'A3'!D132+'A4'!D132=2,"2 vapaana",'A1'!D132+'A2'!D132+'A3'!D132+'A4'!D132=3,"1 vapaana",'A1'!D132+'A2'!D132+'A3'!D132+'A4'!D132=4,"Varattu")</f>
        <v>Vapaa</v>
      </c>
      <c r="AB8" s="7"/>
    </row>
    <row r="9" spans="1:28" x14ac:dyDescent="0.25">
      <c r="A9" s="7"/>
      <c r="B9" s="3">
        <v>44688</v>
      </c>
      <c r="C9" s="1" t="str" cm="1">
        <f t="array" ref="C9">_xlfn.IFS('A1'!D10+'A2'!D10+'A3'!D10+'A4'!D10=0,"Vapaa",'A1'!D10+'A2'!D10+'A3'!D10+'A4'!D10=1,"3 vapaana",'A1'!D10+'A2'!D10+'A3'!D10+'A4'!D10=2,"2 vapaana",'A1'!D10+'A2'!D10+'A3'!D10+'A4'!D10=3,"1 vapaana",'A1'!D10+'A2'!D10+'A3'!D10+'A4'!D10=4,"Varattu")</f>
        <v>2 vapaana</v>
      </c>
      <c r="E9" s="3">
        <v>44719</v>
      </c>
      <c r="F9" s="1" t="str" cm="1">
        <f t="array" ref="F9">_xlfn.IFS('A1'!D41+'A2'!D41+'A3'!D41+'A4'!D41=0,"Vapaa",'A1'!D41+'A2'!D41+'A3'!D41+'A4'!D41=1,"3 vapaana",'A1'!D41+'A2'!D41+'A3'!D41+'A4'!D41=2,"2 vapaana",'A1'!D41+'A2'!D41+'A3'!D41+'A4'!D41=3,"1 vapaana",'A1'!D41+'A2'!D41+'A3'!D41+'A4'!D41=4,"Varattu")</f>
        <v>2 vapaana</v>
      </c>
      <c r="H9" s="3">
        <v>44749</v>
      </c>
      <c r="I9" s="1" t="str" cm="1">
        <f t="array" ref="I9">_xlfn.IFS('A1'!D71+'A2'!D71+'A3'!D71+'A4'!D71=0,"Vapaa",'A1'!D71+'A2'!D71+'A3'!D71+'A4'!D71=1,"3 vapaana",'A1'!D71+'A2'!D71+'A3'!D71+'A4'!D71=2,"2 vapaana",'A1'!D71+'A2'!D71+'A3'!D71+'A4'!D71=3,"1 vapaana",'A1'!D71+'A2'!D71+'A3'!D71+'A4'!D71=4,"Varattu")</f>
        <v>Vapaa</v>
      </c>
      <c r="K9" s="22">
        <v>44780</v>
      </c>
      <c r="L9" s="23" t="str" cm="1">
        <f t="array" ref="L9">_xlfn.IFS('A1'!D102+'A2'!D102+'A3'!D102+'A4'!D102=0,"Vapaa",'A1'!D102+'A2'!D102+'A3'!D102+'A4'!D102=1,"3 vapaana",'A1'!D102+'A2'!D102+'A3'!D102+'A4'!D102=2,"2 vapaana",'A1'!D102+'A2'!D102+'A3'!D102+'A4'!D102=3,"1 vapaana",'A1'!D102+'A2'!D102+'A3'!D102+'A4'!D102=4,"Varattu")</f>
        <v>Vapaa</v>
      </c>
      <c r="N9" s="3">
        <v>44811</v>
      </c>
      <c r="O9" s="1" t="str" cm="1">
        <f t="array" ref="O9">_xlfn.IFS('A1'!D133+'A2'!D133+'A3'!D133+'A4'!D133=0,"Vapaa",'A1'!D133+'A2'!D133+'A3'!D133+'A4'!D133=1,"3 vapaana",'A1'!D133+'A2'!D133+'A3'!D133+'A4'!D133=2,"2 vapaana",'A1'!D133+'A2'!D133+'A3'!D133+'A4'!D133=3,"1 vapaana",'A1'!D133+'A2'!D133+'A3'!D133+'A4'!D133=4,"Varattu")</f>
        <v>Vapaa</v>
      </c>
      <c r="AB9" s="7"/>
    </row>
    <row r="10" spans="1:28" x14ac:dyDescent="0.25">
      <c r="A10" s="7"/>
      <c r="B10" s="3">
        <v>44689</v>
      </c>
      <c r="C10" s="1" t="str" cm="1">
        <f t="array" ref="C10">_xlfn.IFS('A1'!D11+'A2'!D11+'A3'!D11+'A4'!D11=0,"Vapaa",'A1'!D11+'A2'!D11+'A3'!D11+'A4'!D11=1,"3 vapaana",'A1'!D11+'A2'!D11+'A3'!D11+'A4'!D11=2,"2 vapaana",'A1'!D11+'A2'!D11+'A3'!D11+'A4'!D11=3,"1 vapaana",'A1'!D11+'A2'!D11+'A3'!D11+'A4'!D11=4,"Varattu")</f>
        <v>2 vapaana</v>
      </c>
      <c r="E10" s="22">
        <v>44720</v>
      </c>
      <c r="F10" s="23" t="str" cm="1">
        <f t="array" ref="F10">_xlfn.IFS('A1'!D42+'A2'!D42+'A3'!D42+'A4'!D42=0,"Vapaa",'A1'!D42+'A2'!D42+'A3'!D42+'A4'!D42=1,"3 vapaana",'A1'!D42+'A2'!D42+'A3'!D42+'A4'!D42=2,"2 vapaana",'A1'!D42+'A2'!D42+'A3'!D42+'A4'!D42=3,"1 vapaana",'A1'!D42+'A2'!D42+'A3'!D42+'A4'!D42=4,"Varattu")</f>
        <v>3 vapaana</v>
      </c>
      <c r="H10" s="22">
        <v>44750</v>
      </c>
      <c r="I10" s="23" t="str" cm="1">
        <f t="array" ref="I10">_xlfn.IFS('A1'!D72+'A2'!D72+'A3'!D72+'A4'!D72=0,"Vapaa",'A1'!D72+'A2'!D72+'A3'!D72+'A4'!D72=1,"3 vapaana",'A1'!D72+'A2'!D72+'A3'!D72+'A4'!D72=2,"2 vapaana",'A1'!D72+'A2'!D72+'A3'!D72+'A4'!D72=3,"1 vapaana",'A1'!D72+'A2'!D72+'A3'!D72+'A4'!D72=4,"Varattu")</f>
        <v>Vapaa</v>
      </c>
      <c r="K10" s="3">
        <v>44781</v>
      </c>
      <c r="L10" s="1" t="str" cm="1">
        <f t="array" ref="L10">_xlfn.IFS('A1'!D103+'A2'!D103+'A3'!D103+'A4'!D103=0,"Vapaa",'A1'!D103+'A2'!D103+'A3'!D103+'A4'!D103=1,"3 vapaana",'A1'!D103+'A2'!D103+'A3'!D103+'A4'!D103=2,"2 vapaana",'A1'!D103+'A2'!D103+'A3'!D103+'A4'!D103=3,"1 vapaana",'A1'!D103+'A2'!D103+'A3'!D103+'A4'!D103=4,"Varattu")</f>
        <v>Vapaa</v>
      </c>
      <c r="N10" s="22">
        <v>44812</v>
      </c>
      <c r="O10" s="23" t="str" cm="1">
        <f t="array" ref="O10">_xlfn.IFS('A1'!D134+'A2'!D134+'A3'!D134+'A4'!D134=0,"Vapaa",'A1'!D134+'A2'!D134+'A3'!D134+'A4'!D134=1,"3 vapaana",'A1'!D134+'A2'!D134+'A3'!D134+'A4'!D134=2,"2 vapaana",'A1'!D134+'A2'!D134+'A3'!D134+'A4'!D134=3,"1 vapaana",'A1'!D134+'A2'!D134+'A3'!D134+'A4'!D134=4,"Varattu")</f>
        <v>Vapaa</v>
      </c>
      <c r="AB10" s="7"/>
    </row>
    <row r="11" spans="1:28" x14ac:dyDescent="0.25">
      <c r="A11" s="7"/>
      <c r="B11" s="3">
        <v>44690</v>
      </c>
      <c r="C11" s="1" t="str" cm="1">
        <f t="array" ref="C11">_xlfn.IFS('A1'!D12+'A2'!D12+'A3'!D12+'A4'!D12=0,"Vapaa",'A1'!D12+'A2'!D12+'A3'!D12+'A4'!D12=1,"3 vapaana",'A1'!D12+'A2'!D12+'A3'!D12+'A4'!D12=2,"2 vapaana",'A1'!D12+'A2'!D12+'A3'!D12+'A4'!D12=3,"1 vapaana",'A1'!D12+'A2'!D12+'A3'!D12+'A4'!D12=4,"Varattu")</f>
        <v>1 vapaana</v>
      </c>
      <c r="E11" s="3">
        <v>44721</v>
      </c>
      <c r="F11" s="1" t="str" cm="1">
        <f t="array" ref="F11">_xlfn.IFS('A1'!D43+'A2'!D43+'A3'!D43+'A4'!D43=0,"Vapaa",'A1'!D43+'A2'!D43+'A3'!D43+'A4'!D43=1,"3 vapaana",'A1'!D43+'A2'!D43+'A3'!D43+'A4'!D43=2,"2 vapaana",'A1'!D43+'A2'!D43+'A3'!D43+'A4'!D43=3,"1 vapaana",'A1'!D43+'A2'!D43+'A3'!D43+'A4'!D43=4,"Varattu")</f>
        <v>3 vapaana</v>
      </c>
      <c r="H11" s="3">
        <v>44751</v>
      </c>
      <c r="I11" s="1" t="str" cm="1">
        <f t="array" ref="I11">_xlfn.IFS('A1'!D73+'A2'!D73+'A3'!D73+'A4'!D73=0,"Vapaa",'A1'!D73+'A2'!D73+'A3'!D73+'A4'!D73=1,"3 vapaana",'A1'!D73+'A2'!D73+'A3'!D73+'A4'!D73=2,"2 vapaana",'A1'!D73+'A2'!D73+'A3'!D73+'A4'!D73=3,"1 vapaana",'A1'!D73+'A2'!D73+'A3'!D73+'A4'!D73=4,"Varattu")</f>
        <v>Vapaa</v>
      </c>
      <c r="K11" s="22">
        <v>44782</v>
      </c>
      <c r="L11" s="23" t="str" cm="1">
        <f t="array" ref="L11">_xlfn.IFS('A1'!D104+'A2'!D104+'A3'!D104+'A4'!D104=0,"Vapaa",'A1'!D104+'A2'!D104+'A3'!D104+'A4'!D104=1,"3 vapaana",'A1'!D104+'A2'!D104+'A3'!D104+'A4'!D104=2,"2 vapaana",'A1'!D104+'A2'!D104+'A3'!D104+'A4'!D104=3,"1 vapaana",'A1'!D104+'A2'!D104+'A3'!D104+'A4'!D104=4,"Varattu")</f>
        <v>Vapaa</v>
      </c>
      <c r="N11" s="3">
        <v>44813</v>
      </c>
      <c r="O11" s="1" t="str" cm="1">
        <f t="array" ref="O11">_xlfn.IFS('A1'!D135+'A2'!D135+'A3'!D135+'A4'!D135=0,"Vapaa",'A1'!D135+'A2'!D135+'A3'!D135+'A4'!D135=1,"3 vapaana",'A1'!D135+'A2'!D135+'A3'!D135+'A4'!D135=2,"2 vapaana",'A1'!D135+'A2'!D135+'A3'!D135+'A4'!D135=3,"1 vapaana",'A1'!D135+'A2'!D135+'A3'!D135+'A4'!D135=4,"Varattu")</f>
        <v>Vapaa</v>
      </c>
      <c r="AB11" s="7"/>
    </row>
    <row r="12" spans="1:28" x14ac:dyDescent="0.25">
      <c r="A12" s="7"/>
      <c r="B12" s="3">
        <v>44691</v>
      </c>
      <c r="C12" s="1" t="str" cm="1">
        <f t="array" ref="C12">_xlfn.IFS('A1'!D13+'A2'!D13+'A3'!D13+'A4'!D13=0,"Vapaa",'A1'!D13+'A2'!D13+'A3'!D13+'A4'!D13=1,"3 vapaana",'A1'!D13+'A2'!D13+'A3'!D13+'A4'!D13=2,"2 vapaana",'A1'!D13+'A2'!D13+'A3'!D13+'A4'!D13=3,"1 vapaana",'A1'!D13+'A2'!D13+'A3'!D13+'A4'!D13=4,"Varattu")</f>
        <v>Varattu</v>
      </c>
      <c r="E12" s="22">
        <v>44722</v>
      </c>
      <c r="F12" s="23" t="str" cm="1">
        <f t="array" ref="F12">_xlfn.IFS('A1'!D44+'A2'!D44+'A3'!D44+'A4'!D44=0,"Vapaa",'A1'!D44+'A2'!D44+'A3'!D44+'A4'!D44=1,"3 vapaana",'A1'!D44+'A2'!D44+'A3'!D44+'A4'!D44=2,"2 vapaana",'A1'!D44+'A2'!D44+'A3'!D44+'A4'!D44=3,"1 vapaana",'A1'!D44+'A2'!D44+'A3'!D44+'A4'!D44=4,"Varattu")</f>
        <v>3 vapaana</v>
      </c>
      <c r="H12" s="22">
        <v>44752</v>
      </c>
      <c r="I12" s="23" t="str" cm="1">
        <f t="array" ref="I12">_xlfn.IFS('A1'!D74+'A2'!D74+'A3'!D74+'A4'!D74=0,"Vapaa",'A1'!D74+'A2'!D74+'A3'!D74+'A4'!D74=1,"3 vapaana",'A1'!D74+'A2'!D74+'A3'!D74+'A4'!D74=2,"2 vapaana",'A1'!D74+'A2'!D74+'A3'!D74+'A4'!D74=3,"1 vapaana",'A1'!D74+'A2'!D74+'A3'!D74+'A4'!D74=4,"Varattu")</f>
        <v>Vapaa</v>
      </c>
      <c r="K12" s="3">
        <v>44783</v>
      </c>
      <c r="L12" s="1" t="str" cm="1">
        <f t="array" ref="L12">_xlfn.IFS('A1'!D105+'A2'!D105+'A3'!D105+'A4'!D105=0,"Vapaa",'A1'!D105+'A2'!D105+'A3'!D105+'A4'!D105=1,"3 vapaana",'A1'!D105+'A2'!D105+'A3'!D105+'A4'!D105=2,"2 vapaana",'A1'!D105+'A2'!D105+'A3'!D105+'A4'!D105=3,"1 vapaana",'A1'!D105+'A2'!D105+'A3'!D105+'A4'!D105=4,"Varattu")</f>
        <v>Vapaa</v>
      </c>
      <c r="N12" s="22">
        <v>44814</v>
      </c>
      <c r="O12" s="23" t="str" cm="1">
        <f t="array" ref="O12">_xlfn.IFS('A1'!D136+'A2'!D136+'A3'!D136+'A4'!D136=0,"Vapaa",'A1'!D136+'A2'!D136+'A3'!D136+'A4'!D136=1,"3 vapaana",'A1'!D136+'A2'!D136+'A3'!D136+'A4'!D136=2,"2 vapaana",'A1'!D136+'A2'!D136+'A3'!D136+'A4'!D136=3,"1 vapaana",'A1'!D136+'A2'!D136+'A3'!D136+'A4'!D136=4,"Varattu")</f>
        <v>Vapaa</v>
      </c>
      <c r="AB12" s="7"/>
    </row>
    <row r="13" spans="1:28" x14ac:dyDescent="0.25">
      <c r="A13" s="7"/>
      <c r="B13" s="3">
        <v>44692</v>
      </c>
      <c r="C13" s="1" t="str" cm="1">
        <f t="array" ref="C13">_xlfn.IFS('A1'!D14+'A2'!D14+'A3'!D14+'A4'!D14=0,"Vapaa",'A1'!D14+'A2'!D14+'A3'!D14+'A4'!D14=1,"3 vapaana",'A1'!D14+'A2'!D14+'A3'!D14+'A4'!D14=2,"2 vapaana",'A1'!D14+'A2'!D14+'A3'!D14+'A4'!D14=3,"1 vapaana",'A1'!D14+'A2'!D14+'A3'!D14+'A4'!D14=4,"Varattu")</f>
        <v>1 vapaana</v>
      </c>
      <c r="E13" s="3">
        <v>44723</v>
      </c>
      <c r="F13" s="1" t="str" cm="1">
        <f t="array" ref="F13">_xlfn.IFS('A1'!D45+'A2'!D45+'A3'!D45+'A4'!D45=0,"Vapaa",'A1'!D45+'A2'!D45+'A3'!D45+'A4'!D45=1,"3 vapaana",'A1'!D45+'A2'!D45+'A3'!D45+'A4'!D45=2,"2 vapaana",'A1'!D45+'A2'!D45+'A3'!D45+'A4'!D45=3,"1 vapaana",'A1'!D45+'A2'!D45+'A3'!D45+'A4'!D45=4,"Varattu")</f>
        <v>Vapaa</v>
      </c>
      <c r="H13" s="3">
        <v>44753</v>
      </c>
      <c r="I13" s="1" t="str" cm="1">
        <f t="array" ref="I13">_xlfn.IFS('A1'!D75+'A2'!D75+'A3'!D75+'A4'!D75=0,"Vapaa",'A1'!D75+'A2'!D75+'A3'!D75+'A4'!D75=1,"3 vapaana",'A1'!D75+'A2'!D75+'A3'!D75+'A4'!D75=2,"2 vapaana",'A1'!D75+'A2'!D75+'A3'!D75+'A4'!D75=3,"1 vapaana",'A1'!D75+'A2'!D75+'A3'!D75+'A4'!D75=4,"Varattu")</f>
        <v>Vapaa</v>
      </c>
      <c r="K13" s="22">
        <v>44784</v>
      </c>
      <c r="L13" s="23" t="str" cm="1">
        <f t="array" ref="L13">_xlfn.IFS('A1'!D106+'A2'!D106+'A3'!D106+'A4'!D106=0,"Vapaa",'A1'!D106+'A2'!D106+'A3'!D106+'A4'!D106=1,"3 vapaana",'A1'!D106+'A2'!D106+'A3'!D106+'A4'!D106=2,"2 vapaana",'A1'!D106+'A2'!D106+'A3'!D106+'A4'!D106=3,"1 vapaana",'A1'!D106+'A2'!D106+'A3'!D106+'A4'!D106=4,"Varattu")</f>
        <v>Vapaa</v>
      </c>
      <c r="N13" s="3">
        <v>44815</v>
      </c>
      <c r="O13" s="1" t="str" cm="1">
        <f t="array" ref="O13">_xlfn.IFS('A1'!D137+'A2'!D137+'A3'!D137+'A4'!D137=0,"Vapaa",'A1'!D137+'A2'!D137+'A3'!D137+'A4'!D137=1,"3 vapaana",'A1'!D137+'A2'!D137+'A3'!D137+'A4'!D137=2,"2 vapaana",'A1'!D137+'A2'!D137+'A3'!D137+'A4'!D137=3,"1 vapaana",'A1'!D137+'A2'!D137+'A3'!D137+'A4'!D137=4,"Varattu")</f>
        <v>Vapaa</v>
      </c>
      <c r="AA13" s="7"/>
      <c r="AB13" s="7"/>
    </row>
    <row r="14" spans="1:28" x14ac:dyDescent="0.25">
      <c r="A14" s="7"/>
      <c r="B14" s="3">
        <v>44693</v>
      </c>
      <c r="C14" s="1" t="str" cm="1">
        <f t="array" ref="C14">_xlfn.IFS('A1'!D15+'A2'!D15+'A3'!D15+'A4'!D15=0,"Vapaa",'A1'!D15+'A2'!D15+'A3'!D15+'A4'!D15=1,"3 vapaana",'A1'!D15+'A2'!D15+'A3'!D15+'A4'!D15=2,"2 vapaana",'A1'!D15+'A2'!D15+'A3'!D15+'A4'!D15=3,"1 vapaana",'A1'!D15+'A2'!D15+'A3'!D15+'A4'!D15=4,"Varattu")</f>
        <v>3 vapaana</v>
      </c>
      <c r="E14" s="22">
        <v>44724</v>
      </c>
      <c r="F14" s="23" t="str" cm="1">
        <f t="array" ref="F14">_xlfn.IFS('A1'!D46+'A2'!D46+'A3'!D46+'A4'!D46=0,"Vapaa",'A1'!D46+'A2'!D46+'A3'!D46+'A4'!D46=1,"3 vapaana",'A1'!D46+'A2'!D46+'A3'!D46+'A4'!D46=2,"2 vapaana",'A1'!D46+'A2'!D46+'A3'!D46+'A4'!D46=3,"1 vapaana",'A1'!D46+'A2'!D46+'A3'!D46+'A4'!D46=4,"Varattu")</f>
        <v>Vapaa</v>
      </c>
      <c r="H14" s="22">
        <v>44754</v>
      </c>
      <c r="I14" s="23" t="str" cm="1">
        <f t="array" ref="I14">_xlfn.IFS('A1'!D76+'A2'!D76+'A3'!D76+'A4'!D76=0,"Vapaa",'A1'!D76+'A2'!D76+'A3'!D76+'A4'!D76=1,"3 vapaana",'A1'!D76+'A2'!D76+'A3'!D76+'A4'!D76=2,"2 vapaana",'A1'!D76+'A2'!D76+'A3'!D76+'A4'!D76=3,"1 vapaana",'A1'!D76+'A2'!D76+'A3'!D76+'A4'!D76=4,"Varattu")</f>
        <v>Vapaa</v>
      </c>
      <c r="K14" s="3">
        <v>44785</v>
      </c>
      <c r="L14" s="1" t="str" cm="1">
        <f t="array" ref="L14">_xlfn.IFS('A1'!D107+'A2'!D107+'A3'!D107+'A4'!D107=0,"Vapaa",'A1'!D107+'A2'!D107+'A3'!D107+'A4'!D107=1,"3 vapaana",'A1'!D107+'A2'!D107+'A3'!D107+'A4'!D107=2,"2 vapaana",'A1'!D107+'A2'!D107+'A3'!D107+'A4'!D107=3,"1 vapaana",'A1'!D107+'A2'!D107+'A3'!D107+'A4'!D107=4,"Varattu")</f>
        <v>Vapaa</v>
      </c>
      <c r="N14" s="22">
        <v>44816</v>
      </c>
      <c r="O14" s="23" t="str" cm="1">
        <f t="array" ref="O14">_xlfn.IFS('A1'!D138+'A2'!D138+'A3'!D138+'A4'!D138=0,"Vapaa",'A1'!D138+'A2'!D138+'A3'!D138+'A4'!D138=1,"3 vapaana",'A1'!D138+'A2'!D138+'A3'!D138+'A4'!D138=2,"2 vapaana",'A1'!D138+'A2'!D138+'A3'!D138+'A4'!D138=3,"1 vapaana",'A1'!D138+'A2'!D138+'A3'!D138+'A4'!D138=4,"Varattu")</f>
        <v>Vapaa</v>
      </c>
      <c r="S14" s="7"/>
      <c r="T14" s="7"/>
      <c r="U14" s="7"/>
      <c r="V14" s="7"/>
      <c r="W14" s="7"/>
      <c r="X14" s="7"/>
      <c r="Y14" s="7"/>
      <c r="AA14" s="7"/>
      <c r="AB14" s="7"/>
    </row>
    <row r="15" spans="1:28" x14ac:dyDescent="0.25">
      <c r="A15" s="7"/>
      <c r="B15" s="3">
        <v>44694</v>
      </c>
      <c r="C15" s="1" t="str" cm="1">
        <f t="array" ref="C15">_xlfn.IFS('A1'!D16+'A2'!D16+'A3'!D16+'A4'!D16=0,"Vapaa",'A1'!D16+'A2'!D16+'A3'!D16+'A4'!D16=1,"3 vapaana",'A1'!D16+'A2'!D16+'A3'!D16+'A4'!D16=2,"2 vapaana",'A1'!D16+'A2'!D16+'A3'!D16+'A4'!D16=3,"1 vapaana",'A1'!D16+'A2'!D16+'A3'!D16+'A4'!D16=4,"Varattu")</f>
        <v>3 vapaana</v>
      </c>
      <c r="E15" s="3">
        <v>44725</v>
      </c>
      <c r="F15" s="1" t="str" cm="1">
        <f t="array" ref="F15">_xlfn.IFS('A1'!D47+'A2'!D47+'A3'!D47+'A4'!D47=0,"Vapaa",'A1'!D47+'A2'!D47+'A3'!D47+'A4'!D47=1,"3 vapaana",'A1'!D47+'A2'!D47+'A3'!D47+'A4'!D47=2,"2 vapaana",'A1'!D47+'A2'!D47+'A3'!D47+'A4'!D47=3,"1 vapaana",'A1'!D47+'A2'!D47+'A3'!D47+'A4'!D47=4,"Varattu")</f>
        <v>Vapaa</v>
      </c>
      <c r="H15" s="3">
        <v>44755</v>
      </c>
      <c r="I15" s="1" t="str" cm="1">
        <f t="array" ref="I15">_xlfn.IFS('A1'!D77+'A2'!D77+'A3'!D77+'A4'!D77=0,"Vapaa",'A1'!D77+'A2'!D77+'A3'!D77+'A4'!D77=1,"3 vapaana",'A1'!D77+'A2'!D77+'A3'!D77+'A4'!D77=2,"2 vapaana",'A1'!D77+'A2'!D77+'A3'!D77+'A4'!D77=3,"1 vapaana",'A1'!D77+'A2'!D77+'A3'!D77+'A4'!D77=4,"Varattu")</f>
        <v>Vapaa</v>
      </c>
      <c r="K15" s="22">
        <v>44786</v>
      </c>
      <c r="L15" s="23" t="str" cm="1">
        <f t="array" ref="L15">_xlfn.IFS('A1'!D108+'A2'!D108+'A3'!D108+'A4'!D108=0,"Vapaa",'A1'!D108+'A2'!D108+'A3'!D108+'A4'!D108=1,"3 vapaana",'A1'!D108+'A2'!D108+'A3'!D108+'A4'!D108=2,"2 vapaana",'A1'!D108+'A2'!D108+'A3'!D108+'A4'!D108=3,"1 vapaana",'A1'!D108+'A2'!D108+'A3'!D108+'A4'!D108=4,"Varattu")</f>
        <v>Vapaa</v>
      </c>
      <c r="N15" s="3">
        <v>44817</v>
      </c>
      <c r="O15" s="1" t="str" cm="1">
        <f t="array" ref="O15">_xlfn.IFS('A1'!D139+'A2'!D139+'A3'!D139+'A4'!D139=0,"Vapaa",'A1'!D139+'A2'!D139+'A3'!D139+'A4'!D139=1,"3 vapaana",'A1'!D139+'A2'!D139+'A3'!D139+'A4'!D139=2,"2 vapaana",'A1'!D139+'A2'!D139+'A3'!D139+'A4'!D139=3,"1 vapaana",'A1'!D139+'A2'!D139+'A3'!D139+'A4'!D139=4,"Varattu")</f>
        <v>Vapaa</v>
      </c>
      <c r="S15" s="7"/>
      <c r="T15" s="7"/>
      <c r="U15" s="7"/>
      <c r="V15" s="7"/>
      <c r="W15" s="7"/>
      <c r="X15" s="7"/>
      <c r="Y15" s="7"/>
      <c r="AA15" s="7"/>
      <c r="AB15" s="7"/>
    </row>
    <row r="16" spans="1:28" x14ac:dyDescent="0.25">
      <c r="A16" s="7"/>
      <c r="B16" s="3">
        <v>44695</v>
      </c>
      <c r="C16" s="1" t="str" cm="1">
        <f t="array" ref="C16">_xlfn.IFS('A1'!D17+'A2'!D17+'A3'!D17+'A4'!D17=0,"Vapaa",'A1'!D17+'A2'!D17+'A3'!D17+'A4'!D17=1,"3 vapaana",'A1'!D17+'A2'!D17+'A3'!D17+'A4'!D17=2,"2 vapaana",'A1'!D17+'A2'!D17+'A3'!D17+'A4'!D17=3,"1 vapaana",'A1'!D17+'A2'!D17+'A3'!D17+'A4'!D17=4,"Varattu")</f>
        <v>3 vapaana</v>
      </c>
      <c r="E16" s="22">
        <v>44726</v>
      </c>
      <c r="F16" s="23" t="str" cm="1">
        <f t="array" ref="F16">_xlfn.IFS('A1'!D48+'A2'!D48+'A3'!D48+'A4'!D48=0,"Vapaa",'A1'!D48+'A2'!D48+'A3'!D48+'A4'!D48=1,"3 vapaana",'A1'!D48+'A2'!D48+'A3'!D48+'A4'!D48=2,"2 vapaana",'A1'!D48+'A2'!D48+'A3'!D48+'A4'!D48=3,"1 vapaana",'A1'!D48+'A2'!D48+'A3'!D48+'A4'!D48=4,"Varattu")</f>
        <v>Vapaa</v>
      </c>
      <c r="H16" s="22">
        <v>44756</v>
      </c>
      <c r="I16" s="23" t="str" cm="1">
        <f t="array" ref="I16">_xlfn.IFS('A1'!D78+'A2'!D78+'A3'!D78+'A4'!D78=0,"Vapaa",'A1'!D78+'A2'!D78+'A3'!D78+'A4'!D78=1,"3 vapaana",'A1'!D78+'A2'!D78+'A3'!D78+'A4'!D78=2,"2 vapaana",'A1'!D78+'A2'!D78+'A3'!D78+'A4'!D78=3,"1 vapaana",'A1'!D78+'A2'!D78+'A3'!D78+'A4'!D78=4,"Varattu")</f>
        <v>Vapaa</v>
      </c>
      <c r="K16" s="3">
        <v>44787</v>
      </c>
      <c r="L16" s="1" t="str" cm="1">
        <f t="array" ref="L16">_xlfn.IFS('A1'!D109+'A2'!D109+'A3'!D109+'A4'!D109=0,"Vapaa",'A1'!D109+'A2'!D109+'A3'!D109+'A4'!D109=1,"3 vapaana",'A1'!D109+'A2'!D109+'A3'!D109+'A4'!D109=2,"2 vapaana",'A1'!D109+'A2'!D109+'A3'!D109+'A4'!D109=3,"1 vapaana",'A1'!D109+'A2'!D109+'A3'!D109+'A4'!D109=4,"Varattu")</f>
        <v>Vapaa</v>
      </c>
      <c r="N16" s="22">
        <v>44818</v>
      </c>
      <c r="O16" s="23" t="str" cm="1">
        <f t="array" ref="O16">_xlfn.IFS('A1'!D140+'A2'!D140+'A3'!D140+'A4'!D140=0,"Vapaa",'A1'!D140+'A2'!D140+'A3'!D140+'A4'!D140=1,"3 vapaana",'A1'!D140+'A2'!D140+'A3'!D140+'A4'!D140=2,"2 vapaana",'A1'!D140+'A2'!D140+'A3'!D140+'A4'!D140=3,"1 vapaana",'A1'!D140+'A2'!D140+'A3'!D140+'A4'!D140=4,"Varattu")</f>
        <v>Vapaa</v>
      </c>
      <c r="S16" s="7"/>
      <c r="T16" s="7"/>
      <c r="U16" s="7"/>
      <c r="V16" s="7"/>
      <c r="W16" s="7"/>
      <c r="X16" s="7"/>
      <c r="Y16" s="7"/>
      <c r="AA16" s="7"/>
      <c r="AB16" s="7"/>
    </row>
    <row r="17" spans="1:28" x14ac:dyDescent="0.25">
      <c r="A17" s="7"/>
      <c r="B17" s="3">
        <v>44696</v>
      </c>
      <c r="C17" s="1" t="str" cm="1">
        <f t="array" ref="C17">_xlfn.IFS('A1'!D18+'A2'!D18+'A3'!D18+'A4'!D18=0,"Vapaa",'A1'!D18+'A2'!D18+'A3'!D18+'A4'!D18=1,"3 vapaana",'A1'!D18+'A2'!D18+'A3'!D18+'A4'!D18=2,"2 vapaana",'A1'!D18+'A2'!D18+'A3'!D18+'A4'!D18=3,"1 vapaana",'A1'!D18+'A2'!D18+'A3'!D18+'A4'!D18=4,"Varattu")</f>
        <v>3 vapaana</v>
      </c>
      <c r="E17" s="3">
        <v>44727</v>
      </c>
      <c r="F17" s="1" t="str" cm="1">
        <f t="array" ref="F17">_xlfn.IFS('A1'!D49+'A2'!D49+'A3'!D49+'A4'!D49=0,"Vapaa",'A1'!D49+'A2'!D49+'A3'!D49+'A4'!D49=1,"3 vapaana",'A1'!D49+'A2'!D49+'A3'!D49+'A4'!D49=2,"2 vapaana",'A1'!D49+'A2'!D49+'A3'!D49+'A4'!D49=3,"1 vapaana",'A1'!D49+'A2'!D49+'A3'!D49+'A4'!D49=4,"Varattu")</f>
        <v>Vapaa</v>
      </c>
      <c r="H17" s="3">
        <v>44757</v>
      </c>
      <c r="I17" s="1" t="str" cm="1">
        <f t="array" ref="I17">_xlfn.IFS('A1'!D79+'A2'!D79+'A3'!D79+'A4'!D79=0,"Vapaa",'A1'!D79+'A2'!D79+'A3'!D79+'A4'!D79=1,"3 vapaana",'A1'!D79+'A2'!D79+'A3'!D79+'A4'!D79=2,"2 vapaana",'A1'!D79+'A2'!D79+'A3'!D79+'A4'!D79=3,"1 vapaana",'A1'!D79+'A2'!D79+'A3'!D79+'A4'!D79=4,"Varattu")</f>
        <v>Vapaa</v>
      </c>
      <c r="K17" s="22">
        <v>44788</v>
      </c>
      <c r="L17" s="23" t="str" cm="1">
        <f t="array" ref="L17">_xlfn.IFS('A1'!D110+'A2'!D110+'A3'!D110+'A4'!D110=0,"Vapaa",'A1'!D110+'A2'!D110+'A3'!D110+'A4'!D110=1,"3 vapaana",'A1'!D110+'A2'!D110+'A3'!D110+'A4'!D110=2,"2 vapaana",'A1'!D110+'A2'!D110+'A3'!D110+'A4'!D110=3,"1 vapaana",'A1'!D110+'A2'!D110+'A3'!D110+'A4'!D110=4,"Varattu")</f>
        <v>Vapaa</v>
      </c>
      <c r="N17" s="3">
        <v>44819</v>
      </c>
      <c r="O17" s="1" t="str" cm="1">
        <f t="array" ref="O17">_xlfn.IFS('A1'!D141+'A2'!D141+'A3'!D141+'A4'!D141=0,"Vapaa",'A1'!D141+'A2'!D141+'A3'!D141+'A4'!D141=1,"3 vapaana",'A1'!D141+'A2'!D141+'A3'!D141+'A4'!D141=2,"2 vapaana",'A1'!D141+'A2'!D141+'A3'!D141+'A4'!D141=3,"1 vapaana",'A1'!D141+'A2'!D141+'A3'!D141+'A4'!D141=4,"Varattu")</f>
        <v>Vapaa</v>
      </c>
      <c r="S17" s="7"/>
      <c r="T17" s="7"/>
      <c r="U17" s="7"/>
      <c r="V17" s="7"/>
      <c r="W17" s="7"/>
      <c r="X17" s="7"/>
      <c r="Y17" s="7"/>
      <c r="AA17" s="7"/>
      <c r="AB17" s="7"/>
    </row>
    <row r="18" spans="1:28" x14ac:dyDescent="0.25">
      <c r="A18" s="7"/>
      <c r="B18" s="3">
        <v>44697</v>
      </c>
      <c r="C18" s="1" t="str" cm="1">
        <f t="array" ref="C18">_xlfn.IFS('A1'!D19+'A2'!D19+'A3'!D19+'A4'!D19=0,"Vapaa",'A1'!D19+'A2'!D19+'A3'!D19+'A4'!D19=1,"3 vapaana",'A1'!D19+'A2'!D19+'A3'!D19+'A4'!D19=2,"2 vapaana",'A1'!D19+'A2'!D19+'A3'!D19+'A4'!D19=3,"1 vapaana",'A1'!D19+'A2'!D19+'A3'!D19+'A4'!D19=4,"Varattu")</f>
        <v>Vapaa</v>
      </c>
      <c r="E18" s="22">
        <v>44728</v>
      </c>
      <c r="F18" s="23" t="str" cm="1">
        <f t="array" ref="F18">_xlfn.IFS('A1'!D50+'A2'!D50+'A3'!D50+'A4'!D50=0,"Vapaa",'A1'!D50+'A2'!D50+'A3'!D50+'A4'!D50=1,"3 vapaana",'A1'!D50+'A2'!D50+'A3'!D50+'A4'!D50=2,"2 vapaana",'A1'!D50+'A2'!D50+'A3'!D50+'A4'!D50=3,"1 vapaana",'A1'!D50+'A2'!D50+'A3'!D50+'A4'!D50=4,"Varattu")</f>
        <v>Vapaa</v>
      </c>
      <c r="H18" s="22">
        <v>44758</v>
      </c>
      <c r="I18" s="23" t="str" cm="1">
        <f t="array" ref="I18">_xlfn.IFS('A1'!D80+'A2'!D80+'A3'!D80+'A4'!D80=0,"Vapaa",'A1'!D80+'A2'!D80+'A3'!D80+'A4'!D80=1,"3 vapaana",'A1'!D80+'A2'!D80+'A3'!D80+'A4'!D80=2,"2 vapaana",'A1'!D80+'A2'!D80+'A3'!D80+'A4'!D80=3,"1 vapaana",'A1'!D80+'A2'!D80+'A3'!D80+'A4'!D80=4,"Varattu")</f>
        <v>Vapaa</v>
      </c>
      <c r="K18" s="3">
        <v>44789</v>
      </c>
      <c r="L18" s="1" t="str" cm="1">
        <f t="array" ref="L18">_xlfn.IFS('A1'!D111+'A2'!D111+'A3'!D111+'A4'!D111=0,"Vapaa",'A1'!D111+'A2'!D111+'A3'!D111+'A4'!D111=1,"3 vapaana",'A1'!D111+'A2'!D111+'A3'!D111+'A4'!D111=2,"2 vapaana",'A1'!D111+'A2'!D111+'A3'!D111+'A4'!D111=3,"1 vapaana",'A1'!D111+'A2'!D111+'A3'!D111+'A4'!D111=4,"Varattu")</f>
        <v>Vapaa</v>
      </c>
      <c r="N18" s="22">
        <v>44820</v>
      </c>
      <c r="O18" s="23" t="str" cm="1">
        <f t="array" ref="O18">_xlfn.IFS('A1'!D142+'A2'!D142+'A3'!D142+'A4'!D142=0,"Vapaa",'A1'!D142+'A2'!D142+'A3'!D142+'A4'!D142=1,"3 vapaana",'A1'!D142+'A2'!D142+'A3'!D142+'A4'!D142=2,"2 vapaana",'A1'!D142+'A2'!D142+'A3'!D142+'A4'!D142=3,"1 vapaana",'A1'!D142+'A2'!D142+'A3'!D142+'A4'!D142=4,"Varattu")</f>
        <v>Vapaa</v>
      </c>
      <c r="S18" s="7"/>
      <c r="T18" s="7"/>
      <c r="U18" s="7"/>
      <c r="V18" s="7"/>
      <c r="W18" s="7"/>
      <c r="X18" s="7"/>
      <c r="Y18" s="7"/>
      <c r="AA18" s="7"/>
      <c r="AB18" s="7"/>
    </row>
    <row r="19" spans="1:28" x14ac:dyDescent="0.25">
      <c r="A19" s="7"/>
      <c r="B19" s="3">
        <v>44698</v>
      </c>
      <c r="C19" s="1" t="str" cm="1">
        <f t="array" ref="C19">_xlfn.IFS('A1'!D20+'A2'!D20+'A3'!D20+'A4'!D20=0,"Vapaa",'A1'!D20+'A2'!D20+'A3'!D20+'A4'!D20=1,"3 vapaana",'A1'!D20+'A2'!D20+'A3'!D20+'A4'!D20=2,"2 vapaana",'A1'!D20+'A2'!D20+'A3'!D20+'A4'!D20=3,"1 vapaana",'A1'!D20+'A2'!D20+'A3'!D20+'A4'!D20=4,"Varattu")</f>
        <v>3 vapaana</v>
      </c>
      <c r="E19" s="3">
        <v>44729</v>
      </c>
      <c r="F19" s="1" t="str" cm="1">
        <f t="array" ref="F19">_xlfn.IFS('A1'!D51+'A2'!D51+'A3'!D51+'A4'!D51=0,"Vapaa",'A1'!D51+'A2'!D51+'A3'!D51+'A4'!D51=1,"3 vapaana",'A1'!D51+'A2'!D51+'A3'!D51+'A4'!D51=2,"2 vapaana",'A1'!D51+'A2'!D51+'A3'!D51+'A4'!D51=3,"1 vapaana",'A1'!D51+'A2'!D51+'A3'!D51+'A4'!D51=4,"Varattu")</f>
        <v>Vapaa</v>
      </c>
      <c r="H19" s="3">
        <v>44759</v>
      </c>
      <c r="I19" s="1" t="str" cm="1">
        <f t="array" ref="I19">_xlfn.IFS('A1'!D81+'A2'!D81+'A3'!D81+'A4'!D81=0,"Vapaa",'A1'!D81+'A2'!D81+'A3'!D81+'A4'!D81=1,"3 vapaana",'A1'!D81+'A2'!D81+'A3'!D81+'A4'!D81=2,"2 vapaana",'A1'!D81+'A2'!D81+'A3'!D81+'A4'!D81=3,"1 vapaana",'A1'!D81+'A2'!D81+'A3'!D81+'A4'!D81=4,"Varattu")</f>
        <v>Vapaa</v>
      </c>
      <c r="K19" s="22">
        <v>44790</v>
      </c>
      <c r="L19" s="23" t="str" cm="1">
        <f t="array" ref="L19">_xlfn.IFS('A1'!D112+'A2'!D112+'A3'!D112+'A4'!D112=0,"Vapaa",'A1'!D112+'A2'!D112+'A3'!D112+'A4'!D112=1,"3 vapaana",'A1'!D112+'A2'!D112+'A3'!D112+'A4'!D112=2,"2 vapaana",'A1'!D112+'A2'!D112+'A3'!D112+'A4'!D112=3,"1 vapaana",'A1'!D112+'A2'!D112+'A3'!D112+'A4'!D112=4,"Varattu")</f>
        <v>Vapaa</v>
      </c>
      <c r="N19" s="3">
        <v>44821</v>
      </c>
      <c r="O19" s="1" t="str" cm="1">
        <f t="array" ref="O19">_xlfn.IFS('A1'!D143+'A2'!D143+'A3'!D143+'A4'!D143=0,"Vapaa",'A1'!D143+'A2'!D143+'A3'!D143+'A4'!D143=1,"3 vapaana",'A1'!D143+'A2'!D143+'A3'!D143+'A4'!D143=2,"2 vapaana",'A1'!D143+'A2'!D143+'A3'!D143+'A4'!D143=3,"1 vapaana",'A1'!D143+'A2'!D143+'A3'!D143+'A4'!D143=4,"Varattu")</f>
        <v>Vapaa</v>
      </c>
      <c r="S19" s="7"/>
      <c r="T19" s="7"/>
      <c r="U19" s="7"/>
      <c r="V19" s="7"/>
      <c r="W19" s="7"/>
      <c r="X19" s="7"/>
      <c r="Y19" s="7"/>
      <c r="AA19" s="7"/>
      <c r="AB19" s="7"/>
    </row>
    <row r="20" spans="1:28" x14ac:dyDescent="0.25">
      <c r="A20" s="7"/>
      <c r="B20" s="3">
        <v>44699</v>
      </c>
      <c r="C20" s="1" t="str" cm="1">
        <f t="array" ref="C20">_xlfn.IFS('A1'!D21+'A2'!D21+'A3'!D21+'A4'!D21=0,"Vapaa",'A1'!D21+'A2'!D21+'A3'!D21+'A4'!D21=1,"3 vapaana",'A1'!D21+'A2'!D21+'A3'!D21+'A4'!D21=2,"2 vapaana",'A1'!D21+'A2'!D21+'A3'!D21+'A4'!D21=3,"1 vapaana",'A1'!D21+'A2'!D21+'A3'!D21+'A4'!D21=4,"Varattu")</f>
        <v>3 vapaana</v>
      </c>
      <c r="E20" s="22">
        <v>44730</v>
      </c>
      <c r="F20" s="23" t="str" cm="1">
        <f t="array" ref="F20">_xlfn.IFS('A1'!D52+'A2'!D52+'A3'!D52+'A4'!D52=0,"Vapaa",'A1'!D52+'A2'!D52+'A3'!D52+'A4'!D52=1,"3 vapaana",'A1'!D52+'A2'!D52+'A3'!D52+'A4'!D52=2,"2 vapaana",'A1'!D52+'A2'!D52+'A3'!D52+'A4'!D52=3,"1 vapaana",'A1'!D52+'A2'!D52+'A3'!D52+'A4'!D52=4,"Varattu")</f>
        <v>Vapaa</v>
      </c>
      <c r="H20" s="22">
        <v>44760</v>
      </c>
      <c r="I20" s="23" t="str" cm="1">
        <f t="array" ref="I20">_xlfn.IFS('A1'!D82+'A2'!D82+'A3'!D82+'A4'!D82=0,"Vapaa",'A1'!D82+'A2'!D82+'A3'!D82+'A4'!D82=1,"3 vapaana",'A1'!D82+'A2'!D82+'A3'!D82+'A4'!D82=2,"2 vapaana",'A1'!D82+'A2'!D82+'A3'!D82+'A4'!D82=3,"1 vapaana",'A1'!D82+'A2'!D82+'A3'!D82+'A4'!D82=4,"Varattu")</f>
        <v>Vapaa</v>
      </c>
      <c r="K20" s="3">
        <v>44791</v>
      </c>
      <c r="L20" s="1" t="str" cm="1">
        <f t="array" ref="L20">_xlfn.IFS('A1'!D113+'A2'!D113+'A3'!D113+'A4'!D113=0,"Vapaa",'A1'!D113+'A2'!D113+'A3'!D113+'A4'!D113=1,"3 vapaana",'A1'!D113+'A2'!D113+'A3'!D113+'A4'!D113=2,"2 vapaana",'A1'!D113+'A2'!D113+'A3'!D113+'A4'!D113=3,"1 vapaana",'A1'!D113+'A2'!D113+'A3'!D113+'A4'!D113=4,"Varattu")</f>
        <v>Vapaa</v>
      </c>
      <c r="N20" s="22">
        <v>44822</v>
      </c>
      <c r="O20" s="23" t="str" cm="1">
        <f t="array" ref="O20">_xlfn.IFS('A1'!D144+'A2'!D144+'A3'!D144+'A4'!D144=0,"Vapaa",'A1'!D144+'A2'!D144+'A3'!D144+'A4'!D144=1,"3 vapaana",'A1'!D144+'A2'!D144+'A3'!D144+'A4'!D144=2,"2 vapaana",'A1'!D144+'A2'!D144+'A3'!D144+'A4'!D144=3,"1 vapaana",'A1'!D144+'A2'!D144+'A3'!D144+'A4'!D144=4,"Varattu")</f>
        <v>Vapaa</v>
      </c>
      <c r="S20" s="7"/>
      <c r="T20" s="7"/>
      <c r="U20" s="7"/>
      <c r="V20" s="7"/>
      <c r="W20" s="7"/>
      <c r="X20" s="7"/>
      <c r="Y20" s="7"/>
      <c r="AA20" s="7"/>
      <c r="AB20" s="7"/>
    </row>
    <row r="21" spans="1:28" x14ac:dyDescent="0.25">
      <c r="A21" s="7"/>
      <c r="B21" s="3">
        <v>44700</v>
      </c>
      <c r="C21" s="1" t="str" cm="1">
        <f t="array" ref="C21">_xlfn.IFS('A1'!D22+'A2'!D22+'A3'!D22+'A4'!D22=0,"Vapaa",'A1'!D22+'A2'!D22+'A3'!D22+'A4'!D22=1,"3 vapaana",'A1'!D22+'A2'!D22+'A3'!D22+'A4'!D22=2,"2 vapaana",'A1'!D22+'A2'!D22+'A3'!D22+'A4'!D22=3,"1 vapaana",'A1'!D22+'A2'!D22+'A3'!D22+'A4'!D22=4,"Varattu")</f>
        <v>3 vapaana</v>
      </c>
      <c r="E21" s="3">
        <v>44731</v>
      </c>
      <c r="F21" s="1" t="str" cm="1">
        <f t="array" ref="F21">_xlfn.IFS('A1'!D53+'A2'!D53+'A3'!D53+'A4'!D53=0,"Vapaa",'A1'!D53+'A2'!D53+'A3'!D53+'A4'!D53=1,"3 vapaana",'A1'!D53+'A2'!D53+'A3'!D53+'A4'!D53=2,"2 vapaana",'A1'!D53+'A2'!D53+'A3'!D53+'A4'!D53=3,"1 vapaana",'A1'!D53+'A2'!D53+'A3'!D53+'A4'!D53=4,"Varattu")</f>
        <v>Vapaa</v>
      </c>
      <c r="H21" s="3">
        <v>44761</v>
      </c>
      <c r="I21" s="1" t="str" cm="1">
        <f t="array" ref="I21">_xlfn.IFS('A1'!D83+'A2'!D83+'A3'!D83+'A4'!D83=0,"Vapaa",'A1'!D83+'A2'!D83+'A3'!D83+'A4'!D83=1,"3 vapaana",'A1'!D83+'A2'!D83+'A3'!D83+'A4'!D83=2,"2 vapaana",'A1'!D83+'A2'!D83+'A3'!D83+'A4'!D83=3,"1 vapaana",'A1'!D83+'A2'!D83+'A3'!D83+'A4'!D83=4,"Varattu")</f>
        <v>Vapaa</v>
      </c>
      <c r="K21" s="22">
        <v>44792</v>
      </c>
      <c r="L21" s="23" t="str" cm="1">
        <f t="array" ref="L21">_xlfn.IFS('A1'!D114+'A2'!D114+'A3'!D114+'A4'!D114=0,"Vapaa",'A1'!D114+'A2'!D114+'A3'!D114+'A4'!D114=1,"3 vapaana",'A1'!D114+'A2'!D114+'A3'!D114+'A4'!D114=2,"2 vapaana",'A1'!D114+'A2'!D114+'A3'!D114+'A4'!D114=3,"1 vapaana",'A1'!D114+'A2'!D114+'A3'!D114+'A4'!D114=4,"Varattu")</f>
        <v>Vapaa</v>
      </c>
      <c r="N21" s="3">
        <v>44823</v>
      </c>
      <c r="O21" s="1" t="str" cm="1">
        <f t="array" ref="O21">_xlfn.IFS('A1'!D145+'A2'!D145+'A3'!D145+'A4'!D145=0,"Vapaa",'A1'!D145+'A2'!D145+'A3'!D145+'A4'!D145=1,"3 vapaana",'A1'!D145+'A2'!D145+'A3'!D145+'A4'!D145=2,"2 vapaana",'A1'!D145+'A2'!D145+'A3'!D145+'A4'!D145=3,"1 vapaana",'A1'!D145+'A2'!D145+'A3'!D145+'A4'!D145=4,"Varattu")</f>
        <v>Vapaa</v>
      </c>
      <c r="S21" s="7"/>
      <c r="T21" s="7"/>
      <c r="U21" s="7"/>
      <c r="V21" s="7"/>
      <c r="W21" s="7"/>
      <c r="X21" s="7"/>
      <c r="Y21" s="7"/>
      <c r="AA21" s="7"/>
      <c r="AB21" s="7"/>
    </row>
    <row r="22" spans="1:28" x14ac:dyDescent="0.25">
      <c r="A22" s="7"/>
      <c r="B22" s="3">
        <v>44701</v>
      </c>
      <c r="C22" s="1" t="str" cm="1">
        <f t="array" ref="C22">_xlfn.IFS('A1'!D23+'A2'!D23+'A3'!D23+'A4'!D23=0,"Vapaa",'A1'!D23+'A2'!D23+'A3'!D23+'A4'!D23=1,"3 vapaana",'A1'!D23+'A2'!D23+'A3'!D23+'A4'!D23=2,"2 vapaana",'A1'!D23+'A2'!D23+'A3'!D23+'A4'!D23=3,"1 vapaana",'A1'!D23+'A2'!D23+'A3'!D23+'A4'!D23=4,"Varattu")</f>
        <v>3 vapaana</v>
      </c>
      <c r="E22" s="22">
        <v>44732</v>
      </c>
      <c r="F22" s="23" t="str" cm="1">
        <f t="array" ref="F22">_xlfn.IFS('A1'!D54+'A2'!D54+'A3'!D54+'A4'!D54=0,"Vapaa",'A1'!D54+'A2'!D54+'A3'!D54+'A4'!D54=1,"3 vapaana",'A1'!D54+'A2'!D54+'A3'!D54+'A4'!D54=2,"2 vapaana",'A1'!D54+'A2'!D54+'A3'!D54+'A4'!D54=3,"1 vapaana",'A1'!D54+'A2'!D54+'A3'!D54+'A4'!D54=4,"Varattu")</f>
        <v>Vapaa</v>
      </c>
      <c r="H22" s="22">
        <v>44762</v>
      </c>
      <c r="I22" s="23" t="str" cm="1">
        <f t="array" ref="I22">_xlfn.IFS('A1'!D84+'A2'!D84+'A3'!D84+'A4'!D84=0,"Vapaa",'A1'!D84+'A2'!D84+'A3'!D84+'A4'!D84=1,"3 vapaana",'A1'!D84+'A2'!D84+'A3'!D84+'A4'!D84=2,"2 vapaana",'A1'!D84+'A2'!D84+'A3'!D84+'A4'!D84=3,"1 vapaana",'A1'!D84+'A2'!D84+'A3'!D84+'A4'!D84=4,"Varattu")</f>
        <v>Vapaa</v>
      </c>
      <c r="K22" s="3">
        <v>44793</v>
      </c>
      <c r="L22" s="1" t="str" cm="1">
        <f t="array" ref="L22">_xlfn.IFS('A1'!D115+'A2'!D115+'A3'!D115+'A4'!D115=0,"Vapaa",'A1'!D115+'A2'!D115+'A3'!D115+'A4'!D115=1,"3 vapaana",'A1'!D115+'A2'!D115+'A3'!D115+'A4'!D115=2,"2 vapaana",'A1'!D115+'A2'!D115+'A3'!D115+'A4'!D115=3,"1 vapaana",'A1'!D115+'A2'!D115+'A3'!D115+'A4'!D115=4,"Varattu")</f>
        <v>Vapaa</v>
      </c>
      <c r="N22" s="22">
        <v>44824</v>
      </c>
      <c r="O22" s="23" t="str" cm="1">
        <f t="array" ref="O22">_xlfn.IFS('A1'!D146+'A2'!D146+'A3'!D146+'A4'!D146=0,"Vapaa",'A1'!D146+'A2'!D146+'A3'!D146+'A4'!D146=1,"3 vapaana",'A1'!D146+'A2'!D146+'A3'!D146+'A4'!D146=2,"2 vapaana",'A1'!D146+'A2'!D146+'A3'!D146+'A4'!D146=3,"1 vapaana",'A1'!D146+'A2'!D146+'A3'!D146+'A4'!D146=4,"Varattu")</f>
        <v>Vapaa</v>
      </c>
      <c r="S22" s="7"/>
      <c r="T22" s="7"/>
      <c r="U22" s="7"/>
      <c r="V22" s="7"/>
      <c r="W22" s="7"/>
      <c r="X22" s="7"/>
      <c r="Y22" s="7"/>
      <c r="AA22" s="7"/>
      <c r="AB22" s="7"/>
    </row>
    <row r="23" spans="1:28" x14ac:dyDescent="0.25">
      <c r="A23" s="7"/>
      <c r="B23" s="3">
        <v>44702</v>
      </c>
      <c r="C23" s="1" t="str" cm="1">
        <f t="array" ref="C23">_xlfn.IFS('A1'!D24+'A2'!D24+'A3'!D24+'A4'!D24=0,"Vapaa",'A1'!D24+'A2'!D24+'A3'!D24+'A4'!D24=1,"3 vapaana",'A1'!D24+'A2'!D24+'A3'!D24+'A4'!D24=2,"2 vapaana",'A1'!D24+'A2'!D24+'A3'!D24+'A4'!D24=3,"1 vapaana",'A1'!D24+'A2'!D24+'A3'!D24+'A4'!D24=4,"Varattu")</f>
        <v>3 vapaana</v>
      </c>
      <c r="E23" s="3">
        <v>44733</v>
      </c>
      <c r="F23" s="1" t="str" cm="1">
        <f t="array" ref="F23">_xlfn.IFS('A1'!D55+'A2'!D55+'A3'!D55+'A4'!D55=0,"Vapaa",'A1'!D55+'A2'!D55+'A3'!D55+'A4'!D55=1,"3 vapaana",'A1'!D55+'A2'!D55+'A3'!D55+'A4'!D55=2,"2 vapaana",'A1'!D55+'A2'!D55+'A3'!D55+'A4'!D55=3,"1 vapaana",'A1'!D55+'A2'!D55+'A3'!D55+'A4'!D55=4,"Varattu")</f>
        <v>Vapaa</v>
      </c>
      <c r="H23" s="3">
        <v>44763</v>
      </c>
      <c r="I23" s="1" t="str" cm="1">
        <f t="array" ref="I23">_xlfn.IFS('A1'!D85+'A2'!D85+'A3'!D85+'A4'!D85=0,"Vapaa",'A1'!D85+'A2'!D85+'A3'!D85+'A4'!D85=1,"3 vapaana",'A1'!D85+'A2'!D85+'A3'!D85+'A4'!D85=2,"2 vapaana",'A1'!D85+'A2'!D85+'A3'!D85+'A4'!D85=3,"1 vapaana",'A1'!D85+'A2'!D85+'A3'!D85+'A4'!D85=4,"Varattu")</f>
        <v>Vapaa</v>
      </c>
      <c r="K23" s="22">
        <v>44794</v>
      </c>
      <c r="L23" s="23" t="str" cm="1">
        <f t="array" ref="L23">_xlfn.IFS('A1'!D116+'A2'!D116+'A3'!D116+'A4'!D116=0,"Vapaa",'A1'!D116+'A2'!D116+'A3'!D116+'A4'!D116=1,"3 vapaana",'A1'!D116+'A2'!D116+'A3'!D116+'A4'!D116=2,"2 vapaana",'A1'!D116+'A2'!D116+'A3'!D116+'A4'!D116=3,"1 vapaana",'A1'!D116+'A2'!D116+'A3'!D116+'A4'!D116=4,"Varattu")</f>
        <v>Vapaa</v>
      </c>
      <c r="N23" s="3">
        <v>44825</v>
      </c>
      <c r="O23" s="1" t="str" cm="1">
        <f t="array" ref="O23">_xlfn.IFS('A1'!D147+'A2'!D147+'A3'!D147+'A4'!D147=0,"Vapaa",'A1'!D147+'A2'!D147+'A3'!D147+'A4'!D147=1,"3 vapaana",'A1'!D147+'A2'!D147+'A3'!D147+'A4'!D147=2,"2 vapaana",'A1'!D147+'A2'!D147+'A3'!D147+'A4'!D147=3,"1 vapaana",'A1'!D147+'A2'!D147+'A3'!D147+'A4'!D147=4,"Varattu")</f>
        <v>Vapaa</v>
      </c>
      <c r="S23" s="7"/>
      <c r="T23" s="7"/>
      <c r="U23" s="7"/>
      <c r="V23" s="7"/>
      <c r="W23" s="7"/>
      <c r="X23" s="7"/>
      <c r="Y23" s="7"/>
      <c r="AA23" s="7"/>
      <c r="AB23" s="7"/>
    </row>
    <row r="24" spans="1:28" x14ac:dyDescent="0.25">
      <c r="A24" s="7"/>
      <c r="B24" s="3">
        <v>44703</v>
      </c>
      <c r="C24" s="1" t="str" cm="1">
        <f t="array" ref="C24">_xlfn.IFS('A1'!D25+'A2'!D25+'A3'!D25+'A4'!D25=0,"Vapaa",'A1'!D25+'A2'!D25+'A3'!D25+'A4'!D25=1,"3 vapaana",'A1'!D25+'A2'!D25+'A3'!D25+'A4'!D25=2,"2 vapaana",'A1'!D25+'A2'!D25+'A3'!D25+'A4'!D25=3,"1 vapaana",'A1'!D25+'A2'!D25+'A3'!D25+'A4'!D25=4,"Varattu")</f>
        <v>3 vapaana</v>
      </c>
      <c r="E24" s="22">
        <v>44734</v>
      </c>
      <c r="F24" s="23" t="str" cm="1">
        <f t="array" ref="F24">_xlfn.IFS('A1'!D56+'A2'!D56+'A3'!D56+'A4'!D56=0,"Vapaa",'A1'!D56+'A2'!D56+'A3'!D56+'A4'!D56=1,"3 vapaana",'A1'!D56+'A2'!D56+'A3'!D56+'A4'!D56=2,"2 vapaana",'A1'!D56+'A2'!D56+'A3'!D56+'A4'!D56=3,"1 vapaana",'A1'!D56+'A2'!D56+'A3'!D56+'A4'!D56=4,"Varattu")</f>
        <v>Vapaa</v>
      </c>
      <c r="H24" s="22">
        <v>44764</v>
      </c>
      <c r="I24" s="23" t="str" cm="1">
        <f t="array" ref="I24">_xlfn.IFS('A1'!D86+'A2'!D86+'A3'!D86+'A4'!D86=0,"Vapaa",'A1'!D86+'A2'!D86+'A3'!D86+'A4'!D86=1,"3 vapaana",'A1'!D86+'A2'!D86+'A3'!D86+'A4'!D86=2,"2 vapaana",'A1'!D86+'A2'!D86+'A3'!D86+'A4'!D86=3,"1 vapaana",'A1'!D86+'A2'!D86+'A3'!D86+'A4'!D86=4,"Varattu")</f>
        <v>Vapaa</v>
      </c>
      <c r="K24" s="3">
        <v>44795</v>
      </c>
      <c r="L24" s="1" t="str" cm="1">
        <f t="array" ref="L24">_xlfn.IFS('A1'!D117+'A2'!D117+'A3'!D117+'A4'!D117=0,"Vapaa",'A1'!D117+'A2'!D117+'A3'!D117+'A4'!D117=1,"3 vapaana",'A1'!D117+'A2'!D117+'A3'!D117+'A4'!D117=2,"2 vapaana",'A1'!D117+'A2'!D117+'A3'!D117+'A4'!D117=3,"1 vapaana",'A1'!D117+'A2'!D117+'A3'!D117+'A4'!D117=4,"Varattu")</f>
        <v>Vapaa</v>
      </c>
      <c r="N24" s="22">
        <v>44826</v>
      </c>
      <c r="O24" s="23" t="str" cm="1">
        <f t="array" ref="O24">_xlfn.IFS('A1'!D148+'A2'!D148+'A3'!D148+'A4'!D148=0,"Vapaa",'A1'!D148+'A2'!D148+'A3'!D148+'A4'!D148=1,"3 vapaana",'A1'!D148+'A2'!D148+'A3'!D148+'A4'!D148=2,"2 vapaana",'A1'!D148+'A2'!D148+'A3'!D148+'A4'!D148=3,"1 vapaana",'A1'!D148+'A2'!D148+'A3'!D148+'A4'!D148=4,"Varattu")</f>
        <v>Vapaa</v>
      </c>
      <c r="S24" s="7"/>
      <c r="T24" s="7"/>
      <c r="U24" s="7"/>
      <c r="V24" s="7"/>
      <c r="W24" s="7"/>
      <c r="X24" s="7"/>
      <c r="Y24" s="7"/>
      <c r="AA24" s="7"/>
      <c r="AB24" s="7"/>
    </row>
    <row r="25" spans="1:28" x14ac:dyDescent="0.25">
      <c r="A25" s="7"/>
      <c r="B25" s="3">
        <v>44704</v>
      </c>
      <c r="C25" s="1" t="str" cm="1">
        <f t="array" ref="C25">_xlfn.IFS('A1'!D26+'A2'!D26+'A3'!D26+'A4'!D26=0,"Vapaa",'A1'!D26+'A2'!D26+'A3'!D26+'A4'!D26=1,"3 vapaana",'A1'!D26+'A2'!D26+'A3'!D26+'A4'!D26=2,"2 vapaana",'A1'!D26+'A2'!D26+'A3'!D26+'A4'!D26=3,"1 vapaana",'A1'!D26+'A2'!D26+'A3'!D26+'A4'!D26=4,"Varattu")</f>
        <v>3 vapaana</v>
      </c>
      <c r="E25" s="3">
        <v>44735</v>
      </c>
      <c r="F25" s="1" t="str" cm="1">
        <f t="array" ref="F25">_xlfn.IFS('A1'!D57+'A2'!D57+'A3'!D57+'A4'!D57=0,"Vapaa",'A1'!D57+'A2'!D57+'A3'!D57+'A4'!D57=1,"3 vapaana",'A1'!D57+'A2'!D57+'A3'!D57+'A4'!D57=2,"2 vapaana",'A1'!D57+'A2'!D57+'A3'!D57+'A4'!D57=3,"1 vapaana",'A1'!D57+'A2'!D57+'A3'!D57+'A4'!D57=4,"Varattu")</f>
        <v>Vapaa</v>
      </c>
      <c r="H25" s="3">
        <v>44765</v>
      </c>
      <c r="I25" s="1" t="str" cm="1">
        <f t="array" ref="I25">_xlfn.IFS('A1'!D87+'A2'!D87+'A3'!D87+'A4'!D87=0,"Vapaa",'A1'!D87+'A2'!D87+'A3'!D87+'A4'!D87=1,"3 vapaana",'A1'!D87+'A2'!D87+'A3'!D87+'A4'!D87=2,"2 vapaana",'A1'!D87+'A2'!D87+'A3'!D87+'A4'!D87=3,"1 vapaana",'A1'!D87+'A2'!D87+'A3'!D87+'A4'!D87=4,"Varattu")</f>
        <v>Vapaa</v>
      </c>
      <c r="K25" s="22">
        <v>44796</v>
      </c>
      <c r="L25" s="23" t="str" cm="1">
        <f t="array" ref="L25">_xlfn.IFS('A1'!D118+'A2'!D118+'A3'!D118+'A4'!D118=0,"Vapaa",'A1'!D118+'A2'!D118+'A3'!D118+'A4'!D118=1,"3 vapaana",'A1'!D118+'A2'!D118+'A3'!D118+'A4'!D118=2,"2 vapaana",'A1'!D118+'A2'!D118+'A3'!D118+'A4'!D118=3,"1 vapaana",'A1'!D118+'A2'!D118+'A3'!D118+'A4'!D118=4,"Varattu")</f>
        <v>Vapaa</v>
      </c>
      <c r="N25" s="3">
        <v>44827</v>
      </c>
      <c r="O25" s="1" t="str" cm="1">
        <f t="array" ref="O25">_xlfn.IFS('A1'!D149+'A2'!D149+'A3'!D149+'A4'!D149=0,"Vapaa",'A1'!D149+'A2'!D149+'A3'!D149+'A4'!D149=1,"3 vapaana",'A1'!D149+'A2'!D149+'A3'!D149+'A4'!D149=2,"2 vapaana",'A1'!D149+'A2'!D149+'A3'!D149+'A4'!D149=3,"1 vapaana",'A1'!D149+'A2'!D149+'A3'!D149+'A4'!D149=4,"Varattu")</f>
        <v>Vapaa</v>
      </c>
      <c r="S25" s="7"/>
      <c r="T25" s="7"/>
      <c r="U25" s="7"/>
      <c r="V25" s="7"/>
      <c r="W25" s="7"/>
      <c r="X25" s="7"/>
      <c r="Y25" s="7"/>
      <c r="AA25" s="7"/>
      <c r="AB25" s="7"/>
    </row>
    <row r="26" spans="1:28" x14ac:dyDescent="0.25">
      <c r="B26" s="3">
        <v>44705</v>
      </c>
      <c r="C26" s="1" t="str" cm="1">
        <f t="array" ref="C26">_xlfn.IFS('A1'!D27+'A2'!D27+'A3'!D27+'A4'!D27=0,"Vapaa",'A1'!D27+'A2'!D27+'A3'!D27+'A4'!D27=1,"3 vapaana",'A1'!D27+'A2'!D27+'A3'!D27+'A4'!D27=2,"2 vapaana",'A1'!D27+'A2'!D27+'A3'!D27+'A4'!D27=3,"1 vapaana",'A1'!D27+'A2'!D27+'A3'!D27+'A4'!D27=4,"Varattu")</f>
        <v>3 vapaana</v>
      </c>
      <c r="E26" s="22">
        <v>44736</v>
      </c>
      <c r="F26" s="23" t="str" cm="1">
        <f t="array" ref="F26">_xlfn.IFS('A1'!D58+'A2'!D58+'A3'!D58+'A4'!D58=0,"Vapaa",'A1'!D58+'A2'!D58+'A3'!D58+'A4'!D58=1,"3 vapaana",'A1'!D58+'A2'!D58+'A3'!D58+'A4'!D58=2,"2 vapaana",'A1'!D58+'A2'!D58+'A3'!D58+'A4'!D58=3,"1 vapaana",'A1'!D58+'A2'!D58+'A3'!D58+'A4'!D58=4,"Varattu")</f>
        <v>Vapaa</v>
      </c>
      <c r="H26" s="22">
        <v>44766</v>
      </c>
      <c r="I26" s="23" t="str" cm="1">
        <f t="array" ref="I26">_xlfn.IFS('A1'!D88+'A2'!D88+'A3'!D88+'A4'!D88=0,"Vapaa",'A1'!D88+'A2'!D88+'A3'!D88+'A4'!D88=1,"3 vapaana",'A1'!D88+'A2'!D88+'A3'!D88+'A4'!D88=2,"2 vapaana",'A1'!D88+'A2'!D88+'A3'!D88+'A4'!D88=3,"1 vapaana",'A1'!D88+'A2'!D88+'A3'!D88+'A4'!D88=4,"Varattu")</f>
        <v>Vapaa</v>
      </c>
      <c r="K26" s="3">
        <v>44797</v>
      </c>
      <c r="L26" s="1" t="str" cm="1">
        <f t="array" ref="L26">_xlfn.IFS('A1'!D119+'A2'!D119+'A3'!D119+'A4'!D119=0,"Vapaa",'A1'!D119+'A2'!D119+'A3'!D119+'A4'!D119=1,"3 vapaana",'A1'!D119+'A2'!D119+'A3'!D119+'A4'!D119=2,"2 vapaana",'A1'!D119+'A2'!D119+'A3'!D119+'A4'!D119=3,"1 vapaana",'A1'!D119+'A2'!D119+'A3'!D119+'A4'!D119=4,"Varattu")</f>
        <v>Vapaa</v>
      </c>
      <c r="N26" s="22">
        <v>44828</v>
      </c>
      <c r="O26" s="23" t="str" cm="1">
        <f t="array" ref="O26">_xlfn.IFS('A1'!D150+'A2'!D150+'A3'!D150+'A4'!D150=0,"Vapaa",'A1'!D150+'A2'!D150+'A3'!D150+'A4'!D150=1,"3 vapaana",'A1'!D150+'A2'!D150+'A3'!D150+'A4'!D150=2,"2 vapaana",'A1'!D150+'A2'!D150+'A3'!D150+'A4'!D150=3,"1 vapaana",'A1'!D150+'A2'!D150+'A3'!D150+'A4'!D150=4,"Varattu")</f>
        <v>Vapaa</v>
      </c>
    </row>
    <row r="27" spans="1:28" x14ac:dyDescent="0.25">
      <c r="B27" s="3">
        <v>44706</v>
      </c>
      <c r="C27" s="1" t="str" cm="1">
        <f t="array" ref="C27">_xlfn.IFS('A1'!D28+'A2'!D28+'A3'!D28+'A4'!D28=0,"Vapaa",'A1'!D28+'A2'!D28+'A3'!D28+'A4'!D28=1,"3 vapaana",'A1'!D28+'A2'!D28+'A3'!D28+'A4'!D28=2,"2 vapaana",'A1'!D28+'A2'!D28+'A3'!D28+'A4'!D28=3,"1 vapaana",'A1'!D28+'A2'!D28+'A3'!D28+'A4'!D28=4,"Varattu")</f>
        <v>3 vapaana</v>
      </c>
      <c r="E27" s="3">
        <v>44737</v>
      </c>
      <c r="F27" s="1" t="str" cm="1">
        <f t="array" ref="F27">_xlfn.IFS('A1'!D59+'A2'!D59+'A3'!D59+'A4'!D59=0,"Vapaa",'A1'!D59+'A2'!D59+'A3'!D59+'A4'!D59=1,"3 vapaana",'A1'!D59+'A2'!D59+'A3'!D59+'A4'!D59=2,"2 vapaana",'A1'!D59+'A2'!D59+'A3'!D59+'A4'!D59=3,"1 vapaana",'A1'!D59+'A2'!D59+'A3'!D59+'A4'!D59=4,"Varattu")</f>
        <v>Vapaa</v>
      </c>
      <c r="H27" s="3">
        <v>44767</v>
      </c>
      <c r="I27" s="1" t="str" cm="1">
        <f t="array" ref="I27">_xlfn.IFS('A1'!D89+'A2'!D89+'A3'!D89+'A4'!D89=0,"Vapaa",'A1'!D89+'A2'!D89+'A3'!D89+'A4'!D89=1,"3 vapaana",'A1'!D89+'A2'!D89+'A3'!D89+'A4'!D89=2,"2 vapaana",'A1'!D89+'A2'!D89+'A3'!D89+'A4'!D89=3,"1 vapaana",'A1'!D89+'A2'!D89+'A3'!D89+'A4'!D89=4,"Varattu")</f>
        <v>Vapaa</v>
      </c>
      <c r="K27" s="22">
        <v>44798</v>
      </c>
      <c r="L27" s="23" t="str" cm="1">
        <f t="array" ref="L27">_xlfn.IFS('A1'!D120+'A2'!D120+'A3'!D120+'A4'!D120=0,"Vapaa",'A1'!D120+'A2'!D120+'A3'!D120+'A4'!D120=1,"3 vapaana",'A1'!D120+'A2'!D120+'A3'!D120+'A4'!D120=2,"2 vapaana",'A1'!D120+'A2'!D120+'A3'!D120+'A4'!D120=3,"1 vapaana",'A1'!D120+'A2'!D120+'A3'!D120+'A4'!D120=4,"Varattu")</f>
        <v>Vapaa</v>
      </c>
      <c r="N27" s="3">
        <v>44829</v>
      </c>
      <c r="O27" s="1" t="str" cm="1">
        <f t="array" ref="O27">_xlfn.IFS('A1'!D151+'A2'!D151+'A3'!D151+'A4'!D151=0,"Vapaa",'A1'!D151+'A2'!D151+'A3'!D151+'A4'!D151=1,"3 vapaana",'A1'!D151+'A2'!D151+'A3'!D151+'A4'!D151=2,"2 vapaana",'A1'!D151+'A2'!D151+'A3'!D151+'A4'!D151=3,"1 vapaana",'A1'!D151+'A2'!D151+'A3'!D151+'A4'!D151=4,"Varattu")</f>
        <v>Vapaa</v>
      </c>
    </row>
    <row r="28" spans="1:28" x14ac:dyDescent="0.25">
      <c r="B28" s="3">
        <v>44707</v>
      </c>
      <c r="C28" s="1" t="str" cm="1">
        <f t="array" ref="C28">_xlfn.IFS('A1'!D29+'A2'!D29+'A3'!D29+'A4'!D29=0,"Vapaa",'A1'!D29+'A2'!D29+'A3'!D29+'A4'!D29=1,"3 vapaana",'A1'!D29+'A2'!D29+'A3'!D29+'A4'!D29=2,"2 vapaana",'A1'!D29+'A2'!D29+'A3'!D29+'A4'!D29=3,"1 vapaana",'A1'!D29+'A2'!D29+'A3'!D29+'A4'!D29=4,"Varattu")</f>
        <v>3 vapaana</v>
      </c>
      <c r="E28" s="22">
        <v>44738</v>
      </c>
      <c r="F28" s="23" t="str" cm="1">
        <f t="array" ref="F28">_xlfn.IFS('A1'!D60+'A2'!D60+'A3'!D60+'A4'!D60=0,"Vapaa",'A1'!D60+'A2'!D60+'A3'!D60+'A4'!D60=1,"3 vapaana",'A1'!D60+'A2'!D60+'A3'!D60+'A4'!D60=2,"2 vapaana",'A1'!D60+'A2'!D60+'A3'!D60+'A4'!D60=3,"1 vapaana",'A1'!D60+'A2'!D60+'A3'!D60+'A4'!D60=4,"Varattu")</f>
        <v>Vapaa</v>
      </c>
      <c r="H28" s="22">
        <v>44768</v>
      </c>
      <c r="I28" s="23" t="str" cm="1">
        <f t="array" ref="I28">_xlfn.IFS('A1'!D90+'A2'!D90+'A3'!D90+'A4'!D90=0,"Vapaa",'A1'!D90+'A2'!D90+'A3'!D90+'A4'!D90=1,"3 vapaana",'A1'!D90+'A2'!D90+'A3'!D90+'A4'!D90=2,"2 vapaana",'A1'!D90+'A2'!D90+'A3'!D90+'A4'!D90=3,"1 vapaana",'A1'!D90+'A2'!D90+'A3'!D90+'A4'!D90=4,"Varattu")</f>
        <v>Vapaa</v>
      </c>
      <c r="K28" s="3">
        <v>44799</v>
      </c>
      <c r="L28" s="1" t="str" cm="1">
        <f t="array" ref="L28">_xlfn.IFS('A1'!D121+'A2'!D121+'A3'!D121+'A4'!D121=0,"Vapaa",'A1'!D121+'A2'!D121+'A3'!D121+'A4'!D121=1,"3 vapaana",'A1'!D121+'A2'!D121+'A3'!D121+'A4'!D121=2,"2 vapaana",'A1'!D121+'A2'!D121+'A3'!D121+'A4'!D121=3,"1 vapaana",'A1'!D121+'A2'!D121+'A3'!D121+'A4'!D121=4,"Varattu")</f>
        <v>Vapaa</v>
      </c>
      <c r="N28" s="22">
        <v>44830</v>
      </c>
      <c r="O28" s="23" t="str" cm="1">
        <f t="array" ref="O28">_xlfn.IFS('A1'!D152+'A2'!D152+'A3'!D152+'A4'!D152=0,"Vapaa",'A1'!D152+'A2'!D152+'A3'!D152+'A4'!D152=1,"3 vapaana",'A1'!D152+'A2'!D152+'A3'!D152+'A4'!D152=2,"2 vapaana",'A1'!D152+'A2'!D152+'A3'!D152+'A4'!D152=3,"1 vapaana",'A1'!D152+'A2'!D152+'A3'!D152+'A4'!D152=4,"Varattu")</f>
        <v>Vapaa</v>
      </c>
    </row>
    <row r="29" spans="1:28" x14ac:dyDescent="0.25">
      <c r="B29" s="3">
        <v>44708</v>
      </c>
      <c r="C29" s="1" t="str" cm="1">
        <f t="array" ref="C29">_xlfn.IFS('A1'!D30+'A2'!D30+'A3'!D30+'A4'!D30=0,"Vapaa",'A1'!D30+'A2'!D30+'A3'!D30+'A4'!D30=1,"3 vapaana",'A1'!D30+'A2'!D30+'A3'!D30+'A4'!D30=2,"2 vapaana",'A1'!D30+'A2'!D30+'A3'!D30+'A4'!D30=3,"1 vapaana",'A1'!D30+'A2'!D30+'A3'!D30+'A4'!D30=4,"Varattu")</f>
        <v>3 vapaana</v>
      </c>
      <c r="E29" s="3">
        <v>44739</v>
      </c>
      <c r="F29" s="1" t="str" cm="1">
        <f t="array" ref="F29">_xlfn.IFS('A1'!D61+'A2'!D61+'A3'!D61+'A4'!D61=0,"Vapaa",'A1'!D61+'A2'!D61+'A3'!D61+'A4'!D61=1,"3 vapaana",'A1'!D61+'A2'!D61+'A3'!D61+'A4'!D61=2,"2 vapaana",'A1'!D61+'A2'!D61+'A3'!D61+'A4'!D61=3,"1 vapaana",'A1'!D61+'A2'!D61+'A3'!D61+'A4'!D61=4,"Varattu")</f>
        <v>Vapaa</v>
      </c>
      <c r="H29" s="3">
        <v>44769</v>
      </c>
      <c r="I29" s="1" t="str" cm="1">
        <f t="array" ref="I29">_xlfn.IFS('A1'!D91+'A2'!D91+'A3'!D91+'A4'!D91=0,"Vapaa",'A1'!D91+'A2'!D91+'A3'!D91+'A4'!D91=1,"3 vapaana",'A1'!D91+'A2'!D91+'A3'!D91+'A4'!D91=2,"2 vapaana",'A1'!D91+'A2'!D91+'A3'!D91+'A4'!D91=3,"1 vapaana",'A1'!D91+'A2'!D91+'A3'!D91+'A4'!D91=4,"Varattu")</f>
        <v>Vapaa</v>
      </c>
      <c r="K29" s="22">
        <v>44800</v>
      </c>
      <c r="L29" s="23" t="str" cm="1">
        <f t="array" ref="L29">_xlfn.IFS('A1'!D122+'A2'!D122+'A3'!D122+'A4'!D122=0,"Vapaa",'A1'!D122+'A2'!D122+'A3'!D122+'A4'!D122=1,"3 vapaana",'A1'!D122+'A2'!D122+'A3'!D122+'A4'!D122=2,"2 vapaana",'A1'!D122+'A2'!D122+'A3'!D122+'A4'!D122=3,"1 vapaana",'A1'!D122+'A2'!D122+'A3'!D122+'A4'!D122=4,"Varattu")</f>
        <v>Vapaa</v>
      </c>
      <c r="N29" s="3">
        <v>44831</v>
      </c>
      <c r="O29" s="1" t="str" cm="1">
        <f t="array" ref="O29">_xlfn.IFS('A1'!D153+'A2'!D153+'A3'!D153+'A4'!D153=0,"Vapaa",'A1'!D153+'A2'!D153+'A3'!D153+'A4'!D153=1,"3 vapaana",'A1'!D153+'A2'!D153+'A3'!D153+'A4'!D153=2,"2 vapaana",'A1'!D153+'A2'!D153+'A3'!D153+'A4'!D153=3,"1 vapaana",'A1'!D153+'A2'!D153+'A3'!D153+'A4'!D153=4,"Varattu")</f>
        <v>Vapaa</v>
      </c>
    </row>
    <row r="30" spans="1:28" x14ac:dyDescent="0.25">
      <c r="B30" s="3">
        <v>44709</v>
      </c>
      <c r="C30" s="1" t="str" cm="1">
        <f t="array" ref="C30">_xlfn.IFS('A1'!D31+'A2'!D31+'A3'!D31+'A4'!D31=0,"Vapaa",'A1'!D31+'A2'!D31+'A3'!D31+'A4'!D31=1,"3 vapaana",'A1'!D31+'A2'!D31+'A3'!D31+'A4'!D31=2,"2 vapaana",'A1'!D31+'A2'!D31+'A3'!D31+'A4'!D31=3,"1 vapaana",'A1'!D31+'A2'!D31+'A3'!D31+'A4'!D31=4,"Varattu")</f>
        <v>3 vapaana</v>
      </c>
      <c r="E30" s="22">
        <v>44740</v>
      </c>
      <c r="F30" s="23" t="str" cm="1">
        <f t="array" ref="F30">_xlfn.IFS('A1'!D62+'A2'!D62+'A3'!D62+'A4'!D62=0,"Vapaa",'A1'!D62+'A2'!D62+'A3'!D62+'A4'!D62=1,"3 vapaana",'A1'!D62+'A2'!D62+'A3'!D62+'A4'!D62=2,"2 vapaana",'A1'!D62+'A2'!D62+'A3'!D62+'A4'!D62=3,"1 vapaana",'A1'!D62+'A2'!D62+'A3'!D62+'A4'!D62=4,"Varattu")</f>
        <v>Vapaa</v>
      </c>
      <c r="H30" s="22">
        <v>44770</v>
      </c>
      <c r="I30" s="23" t="str" cm="1">
        <f t="array" ref="I30">_xlfn.IFS('A1'!D92+'A2'!D92+'A3'!D92+'A4'!D92=0,"Vapaa",'A1'!D92+'A2'!D92+'A3'!D92+'A4'!D92=1,"3 vapaana",'A1'!D92+'A2'!D92+'A3'!D92+'A4'!D92=2,"2 vapaana",'A1'!D92+'A2'!D92+'A3'!D92+'A4'!D92=3,"1 vapaana",'A1'!D92+'A2'!D92+'A3'!D92+'A4'!D92=4,"Varattu")</f>
        <v>Vapaa</v>
      </c>
      <c r="K30" s="3">
        <v>44801</v>
      </c>
      <c r="L30" s="1" t="str" cm="1">
        <f t="array" ref="L30">_xlfn.IFS('A1'!D123+'A2'!D123+'A3'!D123+'A4'!D123=0,"Vapaa",'A1'!D123+'A2'!D123+'A3'!D123+'A4'!D123=1,"3 vapaana",'A1'!D123+'A2'!D123+'A3'!D123+'A4'!D123=2,"2 vapaana",'A1'!D123+'A2'!D123+'A3'!D123+'A4'!D123=3,"1 vapaana",'A1'!D123+'A2'!D123+'A3'!D123+'A4'!D123=4,"Varattu")</f>
        <v>Vapaa</v>
      </c>
      <c r="N30" s="22">
        <v>44832</v>
      </c>
      <c r="O30" s="23" t="str" cm="1">
        <f t="array" ref="O30">_xlfn.IFS('A1'!D154+'A2'!D154+'A3'!D154+'A4'!D154=0,"Vapaa",'A1'!D154+'A2'!D154+'A3'!D154+'A4'!D154=1,"3 vapaana",'A1'!D154+'A2'!D154+'A3'!D154+'A4'!D154=2,"2 vapaana",'A1'!D154+'A2'!D154+'A3'!D154+'A4'!D154=3,"1 vapaana",'A1'!D154+'A2'!D154+'A3'!D154+'A4'!D154=4,"Varattu")</f>
        <v>Vapaa</v>
      </c>
    </row>
    <row r="31" spans="1:28" x14ac:dyDescent="0.25">
      <c r="B31" s="3">
        <v>44710</v>
      </c>
      <c r="C31" s="1" t="str" cm="1">
        <f t="array" ref="C31">_xlfn.IFS('A1'!D32+'A2'!D32+'A3'!D32+'A4'!D32=0,"Vapaa",'A1'!D32+'A2'!D32+'A3'!D32+'A4'!D32=1,"3 vapaana",'A1'!D32+'A2'!D32+'A3'!D32+'A4'!D32=2,"2 vapaana",'A1'!D32+'A2'!D32+'A3'!D32+'A4'!D32=3,"1 vapaana",'A1'!D32+'A2'!D32+'A3'!D32+'A4'!D32=4,"Varattu")</f>
        <v>3 vapaana</v>
      </c>
      <c r="E31" s="3">
        <v>44741</v>
      </c>
      <c r="F31" s="1" t="str" cm="1">
        <f t="array" ref="F31">_xlfn.IFS('A1'!D63+'A2'!D63+'A3'!D63+'A4'!D63=0,"Vapaa",'A1'!D63+'A2'!D63+'A3'!D63+'A4'!D63=1,"3 vapaana",'A1'!D63+'A2'!D63+'A3'!D63+'A4'!D63=2,"2 vapaana",'A1'!D63+'A2'!D63+'A3'!D63+'A4'!D63=3,"1 vapaana",'A1'!D63+'A2'!D63+'A3'!D63+'A4'!D63=4,"Varattu")</f>
        <v>Vapaa</v>
      </c>
      <c r="H31" s="3">
        <v>44771</v>
      </c>
      <c r="I31" s="1" t="str" cm="1">
        <f t="array" ref="I31">_xlfn.IFS('A1'!D93+'A2'!D93+'A3'!D93+'A4'!D93=0,"Vapaa",'A1'!D93+'A2'!D93+'A3'!D93+'A4'!D93=1,"3 vapaana",'A1'!D93+'A2'!D93+'A3'!D93+'A4'!D93=2,"2 vapaana",'A1'!D93+'A2'!D93+'A3'!D93+'A4'!D93=3,"1 vapaana",'A1'!D93+'A2'!D93+'A3'!D93+'A4'!D93=4,"Varattu")</f>
        <v>Vapaa</v>
      </c>
      <c r="K31" s="22">
        <v>44802</v>
      </c>
      <c r="L31" s="23" t="str" cm="1">
        <f t="array" ref="L31">_xlfn.IFS('A1'!D124+'A2'!D124+'A3'!D124+'A4'!D124=0,"Vapaa",'A1'!D124+'A2'!D124+'A3'!D124+'A4'!D124=1,"3 vapaana",'A1'!D124+'A2'!D124+'A3'!D124+'A4'!D124=2,"2 vapaana",'A1'!D124+'A2'!D124+'A3'!D124+'A4'!D124=3,"1 vapaana",'A1'!D124+'A2'!D124+'A3'!D124+'A4'!D124=4,"Varattu")</f>
        <v>Vapaa</v>
      </c>
      <c r="N31" s="3">
        <v>44833</v>
      </c>
      <c r="O31" s="1" t="str" cm="1">
        <f t="array" ref="O31">_xlfn.IFS('A1'!D155+'A2'!D155+'A3'!D155+'A4'!D155=0,"Vapaa",'A1'!D155+'A2'!D155+'A3'!D155+'A4'!D155=1,"3 vapaana",'A1'!D155+'A2'!D155+'A3'!D155+'A4'!D155=2,"2 vapaana",'A1'!D155+'A2'!D155+'A3'!D155+'A4'!D155=3,"1 vapaana",'A1'!D155+'A2'!D155+'A3'!D155+'A4'!D155=4,"Varattu")</f>
        <v>Vapaa</v>
      </c>
    </row>
    <row r="32" spans="1:28" x14ac:dyDescent="0.25">
      <c r="B32" s="3">
        <v>44711</v>
      </c>
      <c r="C32" s="1" t="str" cm="1">
        <f t="array" ref="C32">_xlfn.IFS('A1'!D33+'A2'!D33+'A3'!D33+'A4'!D33=0,"Vapaa",'A1'!D33+'A2'!D33+'A3'!D33+'A4'!D33=1,"3 vapaana",'A1'!D33+'A2'!D33+'A3'!D33+'A4'!D33=2,"2 vapaana",'A1'!D33+'A2'!D33+'A3'!D33+'A4'!D33=3,"1 vapaana",'A1'!D33+'A2'!D33+'A3'!D33+'A4'!D33=4,"Varattu")</f>
        <v>2 vapaana</v>
      </c>
      <c r="E32" s="22">
        <v>44742</v>
      </c>
      <c r="F32" s="23" t="str" cm="1">
        <f t="array" ref="F32">_xlfn.IFS('A1'!D64+'A2'!D64+'A3'!D64+'A4'!D64=0,"Vapaa",'A1'!D64+'A2'!D64+'A3'!D64+'A4'!D64=1,"3 vapaana",'A1'!D64+'A2'!D64+'A3'!D64+'A4'!D64=2,"2 vapaana",'A1'!D64+'A2'!D64+'A3'!D64+'A4'!D64=3,"1 vapaana",'A1'!D64+'A2'!D64+'A3'!D64+'A4'!D64=4,"Varattu")</f>
        <v>Vapaa</v>
      </c>
      <c r="H32" s="22">
        <v>44772</v>
      </c>
      <c r="I32" s="23" t="str" cm="1">
        <f t="array" ref="I32">_xlfn.IFS('A1'!D94+'A2'!D94+'A3'!D94+'A4'!D94=0,"Vapaa",'A1'!D94+'A2'!D94+'A3'!D94+'A4'!D94=1,"3 vapaana",'A1'!D94+'A2'!D94+'A3'!D94+'A4'!D94=2,"2 vapaana",'A1'!D94+'A2'!D94+'A3'!D94+'A4'!D94=3,"1 vapaana",'A1'!D94+'A2'!D94+'A3'!D94+'A4'!D94=4,"Varattu")</f>
        <v>Vapaa</v>
      </c>
      <c r="K32" s="3">
        <v>44803</v>
      </c>
      <c r="L32" s="1" t="str" cm="1">
        <f t="array" ref="L32">_xlfn.IFS('A1'!D125+'A2'!D125+'A3'!D125+'A4'!D125=0,"Vapaa",'A1'!D125+'A2'!D125+'A3'!D125+'A4'!D125=1,"3 vapaana",'A1'!D125+'A2'!D125+'A3'!D125+'A4'!D125=2,"2 vapaana",'A1'!D125+'A2'!D125+'A3'!D125+'A4'!D125=3,"1 vapaana",'A1'!D125+'A2'!D125+'A3'!D125+'A4'!D125=4,"Varattu")</f>
        <v>Vapaa</v>
      </c>
      <c r="N32" s="22">
        <v>44834</v>
      </c>
      <c r="O32" s="23" t="str" cm="1">
        <f t="array" ref="O32">_xlfn.IFS('A1'!D156+'A2'!D156+'A3'!D156+'A4'!D156=0,"Vapaa",'A1'!D156+'A2'!D156+'A3'!D156+'A4'!D156=1,"3 vapaana",'A1'!D156+'A2'!D156+'A3'!D156+'A4'!D156=2,"2 vapaana",'A1'!D156+'A2'!D156+'A3'!D156+'A4'!D156=3,"1 vapaana",'A1'!D156+'A2'!D156+'A3'!D156+'A4'!D156=4,"Varattu")</f>
        <v>Vapaa</v>
      </c>
    </row>
    <row r="33" spans="2:12" x14ac:dyDescent="0.25">
      <c r="B33" s="3">
        <v>44712</v>
      </c>
      <c r="C33" s="1" t="str" cm="1">
        <f t="array" ref="C33">_xlfn.IFS('A1'!D34+'A2'!D34+'A3'!D34+'A4'!D34=0,"Vapaa",'A1'!D34+'A2'!D34+'A3'!D34+'A4'!D34=1,"3 vapaana",'A1'!D34+'A2'!D34+'A3'!D34+'A4'!D34=2,"2 vapaana",'A1'!D34+'A2'!D34+'A3'!D34+'A4'!D34=3,"1 vapaana",'A1'!D34+'A2'!D34+'A3'!D34+'A4'!D34=4,"Varattu")</f>
        <v>3 vapaana</v>
      </c>
      <c r="H33" s="3">
        <v>44773</v>
      </c>
      <c r="I33" s="1" t="str" cm="1">
        <f t="array" ref="I33">_xlfn.IFS('A1'!D95+'A2'!D95+'A3'!D95+'A4'!D95=0,"Vapaa",'A1'!D95+'A2'!D95+'A3'!D95+'A4'!D95=1,"3 vapaana",'A1'!D95+'A2'!D95+'A3'!D95+'A4'!D95=2,"2 vapaana",'A1'!D95+'A2'!D95+'A3'!D95+'A4'!D95=3,"1 vapaana",'A1'!D95+'A2'!D95+'A3'!D95+'A4'!D95=4,"Varattu")</f>
        <v>Vapaa</v>
      </c>
      <c r="K33" s="22">
        <v>44804</v>
      </c>
      <c r="L33" s="23" t="str" cm="1">
        <f t="array" ref="L33">_xlfn.IFS('A1'!D126+'A2'!D126+'A3'!D126+'A4'!D126=0,"Vapaa",'A1'!D126+'A2'!D126+'A3'!D126+'A4'!D126=1,"3 vapaana",'A1'!D126+'A2'!D126+'A3'!D126+'A4'!D126=2,"2 vapaana",'A1'!D126+'A2'!D126+'A3'!D126+'A4'!D126=3,"1 vapaana",'A1'!D126+'A2'!D126+'A3'!D126+'A4'!D126=4,"Varattu")</f>
        <v>Vapaa</v>
      </c>
    </row>
    <row r="156" spans="3:3" x14ac:dyDescent="0.25">
      <c r="C156" s="1"/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F30AA7187B5F5469B824C7CB3C8DF35" ma:contentTypeVersion="2" ma:contentTypeDescription="Create a new document." ma:contentTypeScope="" ma:versionID="fd3d601cd68b637dbe64498be7a4d7dd">
  <xsd:schema xmlns:xsd="http://www.w3.org/2001/XMLSchema" xmlns:xs="http://www.w3.org/2001/XMLSchema" xmlns:p="http://schemas.microsoft.com/office/2006/metadata/properties" xmlns:ns3="80190a68-7ac9-4659-b743-1eae46110dbd" targetNamespace="http://schemas.microsoft.com/office/2006/metadata/properties" ma:root="true" ma:fieldsID="a590f2b5fdf368c9b3bb874c1127fb3f" ns3:_="">
    <xsd:import namespace="80190a68-7ac9-4659-b743-1eae46110db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0190a68-7ac9-4659-b743-1eae46110db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3F78F59-8844-4D38-BBD1-3BB008D026E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151E1E4-F232-4222-BCED-BA54E2C8FA7D}">
  <ds:schemaRefs>
    <ds:schemaRef ds:uri="http://purl.org/dc/elements/1.1/"/>
    <ds:schemaRef ds:uri="http://purl.org/dc/dcmitype/"/>
    <ds:schemaRef ds:uri="http://schemas.microsoft.com/office/2006/documentManagement/types"/>
    <ds:schemaRef ds:uri="http://purl.org/dc/terms/"/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schemas.openxmlformats.org/package/2006/metadata/core-properties"/>
    <ds:schemaRef ds:uri="80190a68-7ac9-4659-b743-1eae46110dbd"/>
  </ds:schemaRefs>
</ds:datastoreItem>
</file>

<file path=customXml/itemProps3.xml><?xml version="1.0" encoding="utf-8"?>
<ds:datastoreItem xmlns:ds="http://schemas.openxmlformats.org/officeDocument/2006/customXml" ds:itemID="{697E97EA-D4C4-402E-A9D0-00F643BEBFB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0190a68-7ac9-4659-b743-1eae46110db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</vt:i4>
      </vt:variant>
    </vt:vector>
  </HeadingPairs>
  <TitlesOfParts>
    <vt:vector size="19" baseType="lpstr">
      <vt:lpstr>A1</vt:lpstr>
      <vt:lpstr>A2</vt:lpstr>
      <vt:lpstr>A3</vt:lpstr>
      <vt:lpstr>A4</vt:lpstr>
      <vt:lpstr>Kalenteri</vt:lpstr>
      <vt:lpstr>Aikaisempi_kokemus</vt:lpstr>
      <vt:lpstr>'A1'!Criteria</vt:lpstr>
      <vt:lpstr>'A2'!Criteria</vt:lpstr>
      <vt:lpstr>'A3'!Criteria</vt:lpstr>
      <vt:lpstr>'A4'!Criteria</vt:lpstr>
      <vt:lpstr>'A1'!Extract</vt:lpstr>
      <vt:lpstr>'A2'!Extract</vt:lpstr>
      <vt:lpstr>'A3'!Extract</vt:lpstr>
      <vt:lpstr>'A4'!Extract</vt:lpstr>
      <vt:lpstr>Jettien_määrä</vt:lpstr>
      <vt:lpstr>Nimi</vt:lpstr>
      <vt:lpstr>Opiskelija?</vt:lpstr>
      <vt:lpstr>Puhelinnumero</vt:lpstr>
      <vt:lpstr>Sähköposti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Pavel</dc:creator>
  <cp:keywords/>
  <dc:description/>
  <cp:lastModifiedBy>Pavel</cp:lastModifiedBy>
  <cp:revision/>
  <dcterms:created xsi:type="dcterms:W3CDTF">2022-04-24T15:34:45Z</dcterms:created>
  <dcterms:modified xsi:type="dcterms:W3CDTF">2022-05-15T15:44:51Z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0x0101006F30AA7187B5F5469B824C7CB3C8DF35</vt:lpwstr>
  </property>
</Properties>
</file>